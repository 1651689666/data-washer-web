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60" windowHeight="21400"/>
  </bookViews>
  <sheets>
    <sheet name="Emp &amp; Dept" sheetId="1" r:id="rId1"/>
    <sheet name="Salary Grades" sheetId="2" r:id="rId2"/>
    <sheet name="垂直合并Demo1" sheetId="3" r:id="rId3"/>
    <sheet name="垂直合并Demo2" sheetId="4" r:id="rId4"/>
    <sheet name="Off-payroll benefits" sheetId="5" r:id="rId5"/>
    <sheet name="Employer provide housing" sheetId="6" r:id="rId6"/>
    <sheet name="Compensation" sheetId="7" r:id="rId7"/>
  </sheets>
  <externalReferences>
    <externalReference r:id="rId8"/>
  </externalReferences>
  <definedNames>
    <definedName name="_____Tax1">[1]Particulars!$A$1:$X$39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<sst xmlns="http://schemas.openxmlformats.org/spreadsheetml/2006/main" count="589" uniqueCount="227">
  <si>
    <t>Emp ID</t>
  </si>
  <si>
    <t>Full Name</t>
  </si>
  <si>
    <t>Dept ID</t>
  </si>
  <si>
    <t>Grade</t>
  </si>
  <si>
    <t>Dept Name</t>
  </si>
  <si>
    <t>Location</t>
  </si>
  <si>
    <t>E001</t>
  </si>
  <si>
    <t>Alice Wang</t>
  </si>
  <si>
    <t>D101</t>
  </si>
  <si>
    <t>G1</t>
  </si>
  <si>
    <t>Human Resources</t>
  </si>
  <si>
    <t>Tower A-102</t>
  </si>
  <si>
    <t>E002</t>
  </si>
  <si>
    <t>Bob Smith</t>
  </si>
  <si>
    <t>D102</t>
  </si>
  <si>
    <t>G2</t>
  </si>
  <si>
    <t>Engineering</t>
  </si>
  <si>
    <t>Tower B-405</t>
  </si>
  <si>
    <t>E003</t>
  </si>
  <si>
    <t>Charlie Lee</t>
  </si>
  <si>
    <t>G3</t>
  </si>
  <si>
    <t>D103</t>
  </si>
  <si>
    <t>Marketing</t>
  </si>
  <si>
    <t>Tower A-201</t>
  </si>
  <si>
    <t>E004</t>
  </si>
  <si>
    <t>David Brown</t>
  </si>
  <si>
    <t>D105</t>
  </si>
  <si>
    <t>Finance</t>
  </si>
  <si>
    <t>Tower C-110</t>
  </si>
  <si>
    <t>E005</t>
  </si>
  <si>
    <t>Eve Davis</t>
  </si>
  <si>
    <t>D104</t>
  </si>
  <si>
    <t>Grade Code</t>
  </si>
  <si>
    <t>Base Salary</t>
  </si>
  <si>
    <t>Bonus Amount</t>
  </si>
  <si>
    <t>Total Amount</t>
  </si>
  <si>
    <t>G4</t>
  </si>
  <si>
    <t>姓名</t>
  </si>
  <si>
    <t>年龄</t>
  </si>
  <si>
    <t>工资</t>
  </si>
  <si>
    <t>张三</t>
  </si>
  <si>
    <t>李四</t>
  </si>
  <si>
    <t>王五</t>
  </si>
  <si>
    <t>赵六</t>
  </si>
  <si>
    <t>员工姓名</t>
  </si>
  <si>
    <t>月薪</t>
  </si>
  <si>
    <t>Alice</t>
  </si>
  <si>
    <t>Bob</t>
  </si>
  <si>
    <t>Name</t>
  </si>
  <si>
    <t>Age</t>
  </si>
  <si>
    <t>Salary</t>
  </si>
  <si>
    <t>Charlie</t>
  </si>
  <si>
    <t>David</t>
  </si>
  <si>
    <t>Employee ID</t>
  </si>
  <si>
    <t>Employee Name</t>
  </si>
  <si>
    <t>Item</t>
  </si>
  <si>
    <t>Amount</t>
  </si>
  <si>
    <t>Currency</t>
  </si>
  <si>
    <t>Business Traval Allowance</t>
  </si>
  <si>
    <t>HKD</t>
  </si>
  <si>
    <t>Housing Allowance</t>
  </si>
  <si>
    <t>CNY</t>
  </si>
  <si>
    <t>Visa</t>
  </si>
  <si>
    <t>Address</t>
  </si>
  <si>
    <t>Period</t>
  </si>
  <si>
    <t>Nature</t>
  </si>
  <si>
    <t>Rent Paid to Landlord by Employer</t>
  </si>
  <si>
    <t>5th Floor, Unit A of the Stanford Residences Victoria Harbour, No.7 Wing Hing Street, Tin Hau, Hong Kong</t>
  </si>
  <si>
    <t>3/17/2023~3/31/2023</t>
  </si>
  <si>
    <t>Flat</t>
  </si>
  <si>
    <t>The Park Lane Hong Kong a Pullman Hotel</t>
  </si>
  <si>
    <t>7/6/2022~9/21/2022</t>
  </si>
  <si>
    <t>1 room in a hotel</t>
  </si>
  <si>
    <t>2/26/2023~3/6/2023</t>
  </si>
  <si>
    <t>员工ID</t>
  </si>
  <si>
    <t>姓</t>
  </si>
  <si>
    <t>名</t>
  </si>
  <si>
    <t>所属月份</t>
  </si>
  <si>
    <t>中国和派驻国收入
Regular salary package (home and host)</t>
  </si>
  <si>
    <t>全年一次性奖金
Annual bonus related to Jan. 1 to Dec. 31 of previous year</t>
  </si>
  <si>
    <r>
      <rPr>
        <sz val="10"/>
        <rFont val="微软雅黑"/>
        <charset val="134"/>
      </rPr>
      <t xml:space="preserve">探亲费
</t>
    </r>
    <r>
      <rPr>
        <sz val="10"/>
        <rFont val="Arial"/>
        <charset val="134"/>
      </rPr>
      <t>Home Leave Allowance
(paid in China on a reimbursement basis)</t>
    </r>
  </si>
  <si>
    <r>
      <rPr>
        <sz val="10"/>
        <rFont val="宋体"/>
        <charset val="134"/>
      </rPr>
      <t>派驻国额外发放部分</t>
    </r>
    <r>
      <rPr>
        <sz val="10"/>
        <rFont val="Arial"/>
        <charset val="134"/>
      </rPr>
      <t xml:space="preserve">
Host country specific payment </t>
    </r>
  </si>
  <si>
    <t>非现金福利
Benefit in kind</t>
  </si>
  <si>
    <t>中国和派驻国已扣缴税款
Withholding Tax in China and host country</t>
  </si>
  <si>
    <t>中国社会保险及公积金
Social Security and Housing Fund Contribution - China</t>
  </si>
  <si>
    <t>Home Campany Cost</t>
  </si>
  <si>
    <t>派驻国社会保险
Social Security and Housing Fund Contribution - Host Country</t>
  </si>
  <si>
    <t>其他供参考信息
Other items for reference purpose only</t>
  </si>
  <si>
    <t>基本工资</t>
  </si>
  <si>
    <t>午餐饭补</t>
  </si>
  <si>
    <t>晚餐饭补</t>
  </si>
  <si>
    <t>艰苦补助</t>
  </si>
  <si>
    <t>离家补助</t>
  </si>
  <si>
    <t>生活津贴</t>
  </si>
  <si>
    <t>福利津贴</t>
  </si>
  <si>
    <t>指定津贴</t>
  </si>
  <si>
    <t>其他奖金</t>
  </si>
  <si>
    <t>月度补贴</t>
  </si>
  <si>
    <t>税前加项</t>
  </si>
  <si>
    <r>
      <rPr>
        <sz val="10"/>
        <color theme="1"/>
        <rFont val="微软雅黑"/>
        <charset val="134"/>
      </rPr>
      <t>税前加项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外派补贴</t>
    </r>
  </si>
  <si>
    <r>
      <rPr>
        <sz val="10"/>
        <color theme="1"/>
        <rFont val="Arial"/>
        <charset val="134"/>
      </rPr>
      <t>TEQ</t>
    </r>
    <r>
      <rPr>
        <sz val="10"/>
        <color theme="1"/>
        <rFont val="微软雅黑"/>
        <charset val="134"/>
      </rPr>
      <t>清算</t>
    </r>
  </si>
  <si>
    <t>事假扣款</t>
  </si>
  <si>
    <t>离职补偿金</t>
  </si>
  <si>
    <t>离职年假补发</t>
  </si>
  <si>
    <t>推荐奖金</t>
  </si>
  <si>
    <t>其它津贴</t>
  </si>
  <si>
    <t>离职年假补扣</t>
  </si>
  <si>
    <t>税前减项</t>
  </si>
  <si>
    <r>
      <rPr>
        <sz val="10"/>
        <color theme="1"/>
        <rFont val="微软雅黑"/>
        <charset val="134"/>
      </rPr>
      <t>税后加项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海外年假折现</t>
    </r>
  </si>
  <si>
    <r>
      <rPr>
        <sz val="10"/>
        <color theme="1"/>
        <rFont val="微软雅黑"/>
        <charset val="134"/>
      </rPr>
      <t>税后减项</t>
    </r>
    <r>
      <rPr>
        <sz val="10"/>
        <color theme="1"/>
        <rFont val="Arial"/>
        <charset val="134"/>
      </rPr>
      <t>-TEQ</t>
    </r>
    <r>
      <rPr>
        <sz val="10"/>
        <color theme="1"/>
        <rFont val="宋体"/>
        <charset val="134"/>
      </rPr>
      <t>扣款</t>
    </r>
  </si>
  <si>
    <t>工会会费</t>
  </si>
  <si>
    <t>竞业限制补偿金</t>
  </si>
  <si>
    <t>ATR补缴-公司承担</t>
  </si>
  <si>
    <t>假设税</t>
  </si>
  <si>
    <t>税前奖金</t>
  </si>
  <si>
    <t>奖金假设税</t>
  </si>
  <si>
    <r>
      <rPr>
        <sz val="10"/>
        <color theme="1"/>
        <rFont val="微软雅黑"/>
        <charset val="134"/>
      </rPr>
      <t>报销</t>
    </r>
    <r>
      <rPr>
        <sz val="10"/>
        <color theme="1"/>
        <rFont val="宋体"/>
        <charset val="134"/>
      </rPr>
      <t>金额</t>
    </r>
  </si>
  <si>
    <t>备注</t>
  </si>
  <si>
    <t>年假折现</t>
  </si>
  <si>
    <t>第二国派驻国</t>
  </si>
  <si>
    <t>年假折现 - 第二派驻国</t>
  </si>
  <si>
    <t>补充医疗费用</t>
  </si>
  <si>
    <t>中国支付/负担员工福利
（如生日卡等）</t>
  </si>
  <si>
    <t>第二派驻国支付/负担员工福利
（如有）</t>
  </si>
  <si>
    <t>中国扣缴税款
Withholding tax in China</t>
  </si>
  <si>
    <t>派驻国扣缴税款Withholding tax in Host Country</t>
  </si>
  <si>
    <t>第二国派驻国扣缴税款</t>
  </si>
  <si>
    <t>中国社保 - 公司</t>
  </si>
  <si>
    <t>中国社保 - 个人</t>
  </si>
  <si>
    <t>中国住房公积金 - 公司</t>
  </si>
  <si>
    <t>中国住房公积金 - 个人</t>
  </si>
  <si>
    <t>公司成本</t>
  </si>
  <si>
    <t>海外社保 - 公司</t>
  </si>
  <si>
    <t>海外社保 - 个人</t>
  </si>
  <si>
    <t>第二国派驻国社保 - 公司</t>
  </si>
  <si>
    <t>第二国派驻国海外社保 - 个人</t>
  </si>
  <si>
    <t>派驻国支付工资金额-Gross</t>
  </si>
  <si>
    <r>
      <rPr>
        <sz val="10"/>
        <color theme="1"/>
        <rFont val="微软雅黑"/>
        <charset val="134"/>
      </rPr>
      <t>派驻国支付工资金额</t>
    </r>
    <r>
      <rPr>
        <sz val="11"/>
        <color theme="1"/>
        <rFont val="宋体"/>
        <charset val="134"/>
        <scheme val="minor"/>
      </rPr>
      <t>-Net</t>
    </r>
  </si>
  <si>
    <t>派驻国报税身份</t>
  </si>
  <si>
    <t>第二派驻国支付工资金额-Gross</t>
  </si>
  <si>
    <t>第二派驻国支付工资金额-Net</t>
  </si>
  <si>
    <t>第二国派驻国报税身份</t>
  </si>
  <si>
    <t>中国报税身份</t>
  </si>
  <si>
    <t>国内扣减-Net</t>
  </si>
  <si>
    <t>Employee's Name in Chinese</t>
  </si>
  <si>
    <t>Last Name</t>
  </si>
  <si>
    <t>First Name</t>
  </si>
  <si>
    <t>Related Month</t>
  </si>
  <si>
    <t>Gross base salary 
(China and Host Country)</t>
  </si>
  <si>
    <t>Meal allowance-Lunch</t>
  </si>
  <si>
    <t>Meal allowance-Dinner</t>
  </si>
  <si>
    <t>Hardship Allowance</t>
  </si>
  <si>
    <t>Home Leave Allowance</t>
  </si>
  <si>
    <t>Cost of Living Allowance</t>
  </si>
  <si>
    <t>Welfare Allowance</t>
  </si>
  <si>
    <t>Designated Allowance</t>
  </si>
  <si>
    <t>Other Bonus</t>
  </si>
  <si>
    <t>Monthly Allowance</t>
  </si>
  <si>
    <t>Additional payment</t>
  </si>
  <si>
    <t xml:space="preserve">Additional payment-Assignment Allowance </t>
  </si>
  <si>
    <t>TEQ Payment</t>
  </si>
  <si>
    <t>Deduction for Personal Leave</t>
  </si>
  <si>
    <t>Severance Payment</t>
  </si>
  <si>
    <t>Payment for annual leave</t>
  </si>
  <si>
    <t>Referral bonus</t>
  </si>
  <si>
    <t>Other Allowance</t>
  </si>
  <si>
    <t>Deduction for taken annual leave</t>
  </si>
  <si>
    <t>Additional deduction - Assignment allowance adjustment</t>
  </si>
  <si>
    <t xml:space="preserve">After tax payment-Payment for overseas unused annual leave </t>
  </si>
  <si>
    <t>After tax deduction-TEQ Settlement</t>
  </si>
  <si>
    <t>Labor union fee</t>
  </si>
  <si>
    <t>Compensation for non-competition</t>
  </si>
  <si>
    <t>Tax due paid by employer for 2022 PRC annual tax filing</t>
  </si>
  <si>
    <t>Hypo Tax on regular salary</t>
  </si>
  <si>
    <t>Gross Annual Bonus paid in China</t>
  </si>
  <si>
    <t>Hypo Tax on annual bonus</t>
  </si>
  <si>
    <t>Reimbursement Amount</t>
  </si>
  <si>
    <t>Comments</t>
  </si>
  <si>
    <t>Payment for unused annual leave</t>
  </si>
  <si>
    <t>Second Host Country</t>
  </si>
  <si>
    <t>Payment for unused annual leave in Second Host Country</t>
  </si>
  <si>
    <t>Supplementary Medical Care expense - Employer</t>
  </si>
  <si>
    <t>Other benefit-in-kinds paid by China entity
(e.g. birthday card)</t>
  </si>
  <si>
    <t>Benefit-in-kinds paid by host country entity
(if any) in Second Host Country</t>
  </si>
  <si>
    <t>Tax on regular salary</t>
  </si>
  <si>
    <t>Tax on annual bonus</t>
  </si>
  <si>
    <t>Withholding tax in Second Host Country</t>
  </si>
  <si>
    <t>Withholding tax in Second Host Country Income Tax</t>
  </si>
  <si>
    <t>Withholding tax in Second Host Country
Stamp Tax</t>
  </si>
  <si>
    <t>Chinese Mandatory Social Security - Employer Contribution</t>
  </si>
  <si>
    <t>Chinese Mandatory Social Security - Employee Contribution</t>
  </si>
  <si>
    <t>Chinese Mandatory Housing Fund - Employer Contribution</t>
  </si>
  <si>
    <t>Chinese Mandatory Housing Fund - Employee Contribution</t>
  </si>
  <si>
    <t>Income local tax (ISN) 3%</t>
  </si>
  <si>
    <t xml:space="preserve"> Host Country Social Security - employer contribution</t>
  </si>
  <si>
    <t>*Host Country Social Security - employee contribution</t>
  </si>
  <si>
    <t>Second Host Country Social Security - employer contribution</t>
  </si>
  <si>
    <t>Second Host Country Social Security - employee contribution</t>
  </si>
  <si>
    <t>Gross Salary paid in host country</t>
  </si>
  <si>
    <t>Net Salary paid in host country</t>
  </si>
  <si>
    <t>Host Country Residency status for withholding filing purpose</t>
  </si>
  <si>
    <t>*Gross Salary paid in second host country</t>
  </si>
  <si>
    <t>*Net Salary paid in second host country</t>
  </si>
  <si>
    <t>Second Host Country Residency status for withholding filing purpose</t>
  </si>
  <si>
    <t>PRC Residency status for withholding filing purpose</t>
  </si>
  <si>
    <t>Net Deduction in China</t>
  </si>
  <si>
    <t>MXN</t>
  </si>
  <si>
    <t>Colombia: MXN
Thailand: THB
Turky: TRY
Philippines: PHP</t>
  </si>
  <si>
    <t>Colombia: MXN
Thailand: THB
Turky: EUR
Philippines: PHP</t>
  </si>
  <si>
    <t>StartRow</t>
  </si>
  <si>
    <t>00Key</t>
  </si>
  <si>
    <t>00Name</t>
  </si>
  <si>
    <t>00Date</t>
  </si>
  <si>
    <t>00Currency</t>
  </si>
  <si>
    <t>00Item3</t>
  </si>
  <si>
    <t>Wang</t>
  </si>
  <si>
    <t>Mexico Tax Resident</t>
  </si>
  <si>
    <t>China Tax Resident</t>
  </si>
  <si>
    <t>Employee</t>
  </si>
  <si>
    <t>Christmas Bonus</t>
  </si>
  <si>
    <t>Mexico: No social securty deduction for Christmas bonus.</t>
  </si>
  <si>
    <t>Smith</t>
  </si>
  <si>
    <t>Non-tax Resident</t>
  </si>
  <si>
    <t>11016.28-Family
11016.28-Employee</t>
  </si>
  <si>
    <t>Mexico: Termination date for overseas assignment is October 31, 2023, and the total amount of unused annual leave and vacation bonus is MXN 18,052.33.</t>
  </si>
  <si>
    <t>Lee</t>
  </si>
  <si>
    <t>Mexico: End assignment on Jul 17,2023.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</si>
</sst>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"/>
    <numFmt numFmtId="177" formatCode="_(* #,##0.00_);_(* \(#,##0.00\);_(* &quot;-&quot;??_);_(@_)"/>
  </numFmts>
  <fonts count="29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5FF"/>
        <bgColor rgb="FFCCE5FF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16" applyNumberFormat="0" applyAlignment="0" applyProtection="0">
      <alignment vertical="center"/>
    </xf>
    <xf numFmtId="0" fontId="18" fillId="17" borderId="17" applyNumberFormat="0" applyAlignment="0" applyProtection="0">
      <alignment vertical="center"/>
    </xf>
    <xf numFmtId="0" fontId="19" fillId="17" borderId="16" applyNumberFormat="0" applyAlignment="0" applyProtection="0">
      <alignment vertical="center"/>
    </xf>
    <xf numFmtId="0" fontId="20" fillId="18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  <xf numFmtId="0" fontId="1" fillId="0" borderId="0"/>
    <xf numFmtId="0" fontId="0" fillId="0" borderId="0">
      <alignment vertical="center"/>
    </xf>
    <xf numFmtId="0" fontId="0" fillId="0" borderId="0"/>
  </cellStyleXfs>
  <cellXfs count="102">
    <xf numFmtId="0" fontId="0" fillId="0" borderId="0" xfId="0"/>
    <xf numFmtId="0" fontId="1" fillId="0" borderId="0" xfId="50"/>
    <xf numFmtId="0" fontId="1" fillId="0" borderId="0" xfId="51" applyFont="1" applyAlignment="1">
      <alignment horizontal="center" vertical="center" wrapText="1"/>
    </xf>
    <xf numFmtId="0" fontId="2" fillId="0" borderId="0" xfId="51" applyFont="1" applyAlignment="1">
      <alignment horizontal="center" vertical="center" wrapText="1"/>
    </xf>
    <xf numFmtId="0" fontId="1" fillId="0" borderId="0" xfId="50" applyAlignment="1">
      <alignment horizontal="center"/>
    </xf>
    <xf numFmtId="176" fontId="1" fillId="0" borderId="0" xfId="50" applyNumberFormat="1" applyAlignment="1">
      <alignment horizontal="center"/>
    </xf>
    <xf numFmtId="177" fontId="1" fillId="0" borderId="0" xfId="50" applyNumberFormat="1"/>
    <xf numFmtId="177" fontId="1" fillId="0" borderId="0" xfId="50" applyNumberFormat="1" applyAlignment="1">
      <alignment wrapText="1"/>
    </xf>
    <xf numFmtId="177" fontId="1" fillId="2" borderId="0" xfId="50" applyNumberFormat="1" applyFill="1"/>
    <xf numFmtId="49" fontId="2" fillId="0" borderId="1" xfId="51" applyNumberFormat="1" applyFont="1" applyBorder="1" applyAlignment="1">
      <alignment horizontal="center" vertical="center" wrapText="1"/>
    </xf>
    <xf numFmtId="176" fontId="2" fillId="0" borderId="1" xfId="51" applyNumberFormat="1" applyFont="1" applyBorder="1" applyAlignment="1">
      <alignment horizontal="center" vertical="center" wrapText="1"/>
    </xf>
    <xf numFmtId="177" fontId="2" fillId="3" borderId="2" xfId="51" applyNumberFormat="1" applyFont="1" applyFill="1" applyBorder="1" applyAlignment="1">
      <alignment horizontal="center" vertical="center" wrapText="1"/>
    </xf>
    <xf numFmtId="177" fontId="2" fillId="3" borderId="3" xfId="51" applyNumberFormat="1" applyFont="1" applyFill="1" applyBorder="1" applyAlignment="1">
      <alignment horizontal="center" vertical="center" wrapText="1"/>
    </xf>
    <xf numFmtId="177" fontId="2" fillId="3" borderId="4" xfId="51" applyNumberFormat="1" applyFont="1" applyFill="1" applyBorder="1" applyAlignment="1">
      <alignment horizontal="center" vertical="center" wrapText="1"/>
    </xf>
    <xf numFmtId="177" fontId="2" fillId="4" borderId="2" xfId="51" applyNumberFormat="1" applyFont="1" applyFill="1" applyBorder="1" applyAlignment="1">
      <alignment horizontal="center" vertical="center" wrapText="1"/>
    </xf>
    <xf numFmtId="177" fontId="2" fillId="4" borderId="3" xfId="51" applyNumberFormat="1" applyFont="1" applyFill="1" applyBorder="1" applyAlignment="1">
      <alignment horizontal="center" vertical="center" wrapText="1"/>
    </xf>
    <xf numFmtId="49" fontId="2" fillId="4" borderId="2" xfId="51" applyNumberFormat="1" applyFont="1" applyFill="1" applyBorder="1" applyAlignment="1">
      <alignment horizontal="center" vertical="center" wrapText="1"/>
    </xf>
    <xf numFmtId="49" fontId="2" fillId="4" borderId="4" xfId="51" applyNumberFormat="1" applyFont="1" applyFill="1" applyBorder="1" applyAlignment="1">
      <alignment horizontal="center" vertical="center" wrapText="1"/>
    </xf>
    <xf numFmtId="177" fontId="2" fillId="5" borderId="3" xfId="51" applyNumberFormat="1" applyFont="1" applyFill="1" applyBorder="1" applyAlignment="1">
      <alignment horizontal="center" vertical="center" wrapText="1"/>
    </xf>
    <xf numFmtId="177" fontId="2" fillId="6" borderId="2" xfId="51" applyNumberFormat="1" applyFont="1" applyFill="1" applyBorder="1" applyAlignment="1">
      <alignment horizontal="center" vertical="center" wrapText="1"/>
    </xf>
    <xf numFmtId="177" fontId="2" fillId="6" borderId="3" xfId="51" applyNumberFormat="1" applyFont="1" applyFill="1" applyBorder="1" applyAlignment="1">
      <alignment horizontal="center" vertical="center" wrapText="1"/>
    </xf>
    <xf numFmtId="177" fontId="2" fillId="6" borderId="4" xfId="51" applyNumberFormat="1" applyFont="1" applyFill="1" applyBorder="1" applyAlignment="1">
      <alignment horizontal="center" vertical="center" wrapText="1"/>
    </xf>
    <xf numFmtId="177" fontId="2" fillId="7" borderId="2" xfId="51" applyNumberFormat="1" applyFont="1" applyFill="1" applyBorder="1" applyAlignment="1">
      <alignment horizontal="center" vertical="center" wrapText="1"/>
    </xf>
    <xf numFmtId="177" fontId="2" fillId="7" borderId="3" xfId="51" applyNumberFormat="1" applyFont="1" applyFill="1" applyBorder="1" applyAlignment="1">
      <alignment horizontal="center" vertical="center" wrapText="1"/>
    </xf>
    <xf numFmtId="177" fontId="2" fillId="7" borderId="4" xfId="51" applyNumberFormat="1" applyFont="1" applyFill="1" applyBorder="1" applyAlignment="1">
      <alignment horizontal="center" vertical="center" wrapText="1"/>
    </xf>
    <xf numFmtId="177" fontId="2" fillId="8" borderId="2" xfId="51" applyNumberFormat="1" applyFont="1" applyFill="1" applyBorder="1" applyAlignment="1">
      <alignment horizontal="center" vertical="center" wrapText="1"/>
    </xf>
    <xf numFmtId="177" fontId="2" fillId="8" borderId="3" xfId="51" applyNumberFormat="1" applyFont="1" applyFill="1" applyBorder="1" applyAlignment="1">
      <alignment horizontal="center" vertical="center" wrapText="1"/>
    </xf>
    <xf numFmtId="177" fontId="2" fillId="8" borderId="5" xfId="51" applyNumberFormat="1" applyFont="1" applyFill="1" applyBorder="1" applyAlignment="1">
      <alignment horizontal="center" vertical="center" wrapText="1"/>
    </xf>
    <xf numFmtId="177" fontId="2" fillId="9" borderId="2" xfId="51" applyNumberFormat="1" applyFont="1" applyFill="1" applyBorder="1" applyAlignment="1">
      <alignment horizontal="center" vertical="center" wrapText="1"/>
    </xf>
    <xf numFmtId="177" fontId="2" fillId="9" borderId="3" xfId="51" applyNumberFormat="1" applyFont="1" applyFill="1" applyBorder="1" applyAlignment="1">
      <alignment horizontal="center" vertical="center" wrapText="1"/>
    </xf>
    <xf numFmtId="177" fontId="2" fillId="9" borderId="4" xfId="51" applyNumberFormat="1" applyFont="1" applyFill="1" applyBorder="1" applyAlignment="1">
      <alignment vertical="center" wrapText="1"/>
    </xf>
    <xf numFmtId="49" fontId="2" fillId="0" borderId="6" xfId="51" applyNumberFormat="1" applyFont="1" applyBorder="1" applyAlignment="1">
      <alignment horizontal="center" vertical="center" wrapText="1"/>
    </xf>
    <xf numFmtId="176" fontId="2" fillId="0" borderId="6" xfId="51" applyNumberFormat="1" applyFont="1" applyBorder="1" applyAlignment="1">
      <alignment horizontal="center" vertical="center" wrapText="1"/>
    </xf>
    <xf numFmtId="177" fontId="3" fillId="3" borderId="1" xfId="51" applyNumberFormat="1" applyFont="1" applyFill="1" applyBorder="1" applyAlignment="1">
      <alignment horizontal="center" vertical="center" wrapText="1"/>
    </xf>
    <xf numFmtId="177" fontId="1" fillId="3" borderId="1" xfId="51" applyNumberFormat="1" applyFont="1" applyFill="1" applyBorder="1" applyAlignment="1">
      <alignment horizontal="center" vertical="center" wrapText="1"/>
    </xf>
    <xf numFmtId="177" fontId="4" fillId="3" borderId="1" xfId="51" applyNumberFormat="1" applyFont="1" applyFill="1" applyBorder="1" applyAlignment="1">
      <alignment horizontal="center" vertical="center" wrapText="1"/>
    </xf>
    <xf numFmtId="177" fontId="1" fillId="4" borderId="1" xfId="51" applyNumberFormat="1" applyFont="1" applyFill="1" applyBorder="1" applyAlignment="1">
      <alignment horizontal="center" vertical="center" wrapText="1"/>
    </xf>
    <xf numFmtId="177" fontId="5" fillId="5" borderId="1" xfId="51" applyNumberFormat="1" applyFont="1" applyFill="1" applyBorder="1" applyAlignment="1">
      <alignment horizontal="center" vertical="center" wrapText="1"/>
    </xf>
    <xf numFmtId="177" fontId="3" fillId="10" borderId="1" xfId="51" applyNumberFormat="1" applyFont="1" applyFill="1" applyBorder="1" applyAlignment="1">
      <alignment horizontal="center" vertical="center" wrapText="1"/>
    </xf>
    <xf numFmtId="177" fontId="1" fillId="6" borderId="1" xfId="51" applyNumberFormat="1" applyFont="1" applyFill="1" applyBorder="1" applyAlignment="1">
      <alignment horizontal="center" vertical="center" wrapText="1"/>
    </xf>
    <xf numFmtId="177" fontId="1" fillId="10" borderId="1" xfId="51" applyNumberFormat="1" applyFont="1" applyFill="1" applyBorder="1" applyAlignment="1">
      <alignment horizontal="center" vertical="center" wrapText="1"/>
    </xf>
    <xf numFmtId="177" fontId="1" fillId="7" borderId="7" xfId="51" applyNumberFormat="1" applyFont="1" applyFill="1" applyBorder="1" applyAlignment="1">
      <alignment horizontal="center" vertical="center" wrapText="1"/>
    </xf>
    <xf numFmtId="177" fontId="1" fillId="7" borderId="8" xfId="51" applyNumberFormat="1" applyFont="1" applyFill="1" applyBorder="1" applyAlignment="1">
      <alignment horizontal="center" vertical="center" wrapText="1"/>
    </xf>
    <xf numFmtId="177" fontId="1" fillId="7" borderId="1" xfId="51" applyNumberFormat="1" applyFont="1" applyFill="1" applyBorder="1" applyAlignment="1">
      <alignment horizontal="center" vertical="center" wrapText="1"/>
    </xf>
    <xf numFmtId="177" fontId="1" fillId="8" borderId="1" xfId="51" applyNumberFormat="1" applyFont="1" applyFill="1" applyBorder="1" applyAlignment="1">
      <alignment horizontal="center" vertical="center" wrapText="1"/>
    </xf>
    <xf numFmtId="177" fontId="1" fillId="9" borderId="1" xfId="51" applyNumberFormat="1" applyFont="1" applyFill="1" applyBorder="1" applyAlignment="1">
      <alignment horizontal="center" vertical="center" wrapText="1"/>
    </xf>
    <xf numFmtId="177" fontId="1" fillId="9" borderId="7" xfId="51" applyNumberFormat="1" applyFont="1" applyFill="1" applyBorder="1" applyAlignment="1">
      <alignment horizontal="center" vertical="center" wrapText="1"/>
    </xf>
    <xf numFmtId="177" fontId="3" fillId="9" borderId="1" xfId="51" applyNumberFormat="1" applyFont="1" applyFill="1" applyBorder="1" applyAlignment="1">
      <alignment horizontal="center" vertical="center" wrapText="1"/>
    </xf>
    <xf numFmtId="49" fontId="2" fillId="0" borderId="9" xfId="51" applyNumberFormat="1" applyFont="1" applyBorder="1" applyAlignment="1">
      <alignment horizontal="center" vertical="center" wrapText="1"/>
    </xf>
    <xf numFmtId="176" fontId="2" fillId="0" borderId="9" xfId="51" applyNumberFormat="1" applyFont="1" applyBorder="1" applyAlignment="1">
      <alignment horizontal="center" vertical="center" wrapText="1"/>
    </xf>
    <xf numFmtId="177" fontId="1" fillId="3" borderId="9" xfId="51" applyNumberFormat="1" applyFont="1" applyFill="1" applyBorder="1" applyAlignment="1">
      <alignment horizontal="center" vertical="center" wrapText="1"/>
    </xf>
    <xf numFmtId="177" fontId="2" fillId="3" borderId="9" xfId="51" applyNumberFormat="1" applyFont="1" applyFill="1" applyBorder="1" applyAlignment="1">
      <alignment horizontal="center" vertical="center" wrapText="1"/>
    </xf>
    <xf numFmtId="177" fontId="1" fillId="4" borderId="9" xfId="51" applyNumberFormat="1" applyFont="1" applyFill="1" applyBorder="1" applyAlignment="1">
      <alignment horizontal="center" vertical="center" wrapText="1"/>
    </xf>
    <xf numFmtId="177" fontId="2" fillId="5" borderId="9" xfId="51" applyNumberFormat="1" applyFont="1" applyFill="1" applyBorder="1" applyAlignment="1">
      <alignment horizontal="center" vertical="center" wrapText="1"/>
    </xf>
    <xf numFmtId="177" fontId="1" fillId="10" borderId="9" xfId="51" applyNumberFormat="1" applyFont="1" applyFill="1" applyBorder="1" applyAlignment="1">
      <alignment horizontal="center" vertical="center" wrapText="1"/>
    </xf>
    <xf numFmtId="177" fontId="1" fillId="6" borderId="9" xfId="51" applyNumberFormat="1" applyFont="1" applyFill="1" applyBorder="1" applyAlignment="1">
      <alignment horizontal="center" vertical="center" wrapText="1"/>
    </xf>
    <xf numFmtId="177" fontId="1" fillId="7" borderId="10" xfId="51" applyNumberFormat="1" applyFont="1" applyFill="1" applyBorder="1" applyAlignment="1">
      <alignment horizontal="center" vertical="center" wrapText="1"/>
    </xf>
    <xf numFmtId="177" fontId="1" fillId="7" borderId="11" xfId="51" applyNumberFormat="1" applyFont="1" applyFill="1" applyBorder="1" applyAlignment="1">
      <alignment horizontal="center" vertical="center" wrapText="1"/>
    </xf>
    <xf numFmtId="177" fontId="1" fillId="7" borderId="6" xfId="51" applyNumberFormat="1" applyFont="1" applyFill="1" applyBorder="1" applyAlignment="1">
      <alignment horizontal="center" vertical="center" wrapText="1"/>
    </xf>
    <xf numFmtId="177" fontId="1" fillId="8" borderId="9" xfId="51" applyNumberFormat="1" applyFont="1" applyFill="1" applyBorder="1" applyAlignment="1">
      <alignment horizontal="center" vertical="center" wrapText="1"/>
    </xf>
    <xf numFmtId="177" fontId="1" fillId="9" borderId="9" xfId="51" applyNumberFormat="1" applyFont="1" applyFill="1" applyBorder="1" applyAlignment="1">
      <alignment horizontal="center" vertical="center" wrapText="1"/>
    </xf>
    <xf numFmtId="177" fontId="1" fillId="9" borderId="10" xfId="51" applyNumberFormat="1" applyFont="1" applyFill="1" applyBorder="1" applyAlignment="1">
      <alignment horizontal="center" vertical="center" wrapText="1"/>
    </xf>
    <xf numFmtId="177" fontId="1" fillId="3" borderId="5" xfId="51" applyNumberFormat="1" applyFont="1" applyFill="1" applyBorder="1" applyAlignment="1">
      <alignment horizontal="center" vertical="center" wrapText="1"/>
    </xf>
    <xf numFmtId="177" fontId="2" fillId="3" borderId="5" xfId="51" applyNumberFormat="1" applyFont="1" applyFill="1" applyBorder="1" applyAlignment="1">
      <alignment horizontal="center" vertical="center" wrapText="1"/>
    </xf>
    <xf numFmtId="177" fontId="1" fillId="4" borderId="5" xfId="51" applyNumberFormat="1" applyFont="1" applyFill="1" applyBorder="1" applyAlignment="1">
      <alignment horizontal="center" vertical="center" wrapText="1"/>
    </xf>
    <xf numFmtId="49" fontId="1" fillId="4" borderId="5" xfId="51" applyNumberFormat="1" applyFont="1" applyFill="1" applyBorder="1" applyAlignment="1">
      <alignment horizontal="center" vertical="center" wrapText="1"/>
    </xf>
    <xf numFmtId="177" fontId="0" fillId="5" borderId="5" xfId="51" applyNumberFormat="1" applyFont="1" applyFill="1" applyBorder="1" applyAlignment="1">
      <alignment horizontal="center" vertical="center" wrapText="1"/>
    </xf>
    <xf numFmtId="177" fontId="1" fillId="10" borderId="5" xfId="51" applyNumberFormat="1" applyFont="1" applyFill="1" applyBorder="1" applyAlignment="1">
      <alignment horizontal="center" vertical="center" wrapText="1"/>
    </xf>
    <xf numFmtId="177" fontId="1" fillId="6" borderId="5" xfId="51" applyNumberFormat="1" applyFont="1" applyFill="1" applyBorder="1" applyAlignment="1">
      <alignment horizontal="center" vertical="center" wrapText="1"/>
    </xf>
    <xf numFmtId="177" fontId="1" fillId="7" borderId="5" xfId="51" applyNumberFormat="1" applyFont="1" applyFill="1" applyBorder="1" applyAlignment="1">
      <alignment horizontal="center" vertical="center" wrapText="1"/>
    </xf>
    <xf numFmtId="177" fontId="1" fillId="7" borderId="9" xfId="51" applyNumberFormat="1" applyFont="1" applyFill="1" applyBorder="1" applyAlignment="1">
      <alignment horizontal="center" vertical="center" wrapText="1"/>
    </xf>
    <xf numFmtId="177" fontId="1" fillId="8" borderId="5" xfId="51" applyNumberFormat="1" applyFont="1" applyFill="1" applyBorder="1" applyAlignment="1">
      <alignment horizontal="center" vertical="center" wrapText="1"/>
    </xf>
    <xf numFmtId="177" fontId="1" fillId="9" borderId="5" xfId="51" applyNumberFormat="1" applyFont="1" applyFill="1" applyBorder="1" applyAlignment="1">
      <alignment horizontal="center" vertical="center" wrapText="1"/>
    </xf>
    <xf numFmtId="177" fontId="1" fillId="9" borderId="2" xfId="51" applyNumberFormat="1" applyFont="1" applyFill="1" applyBorder="1" applyAlignment="1">
      <alignment horizontal="center" vertical="center" wrapText="1"/>
    </xf>
    <xf numFmtId="177" fontId="2" fillId="4" borderId="5" xfId="51" applyNumberFormat="1" applyFont="1" applyFill="1" applyBorder="1" applyAlignment="1">
      <alignment horizontal="center" vertical="center" wrapText="1"/>
    </xf>
    <xf numFmtId="49" fontId="2" fillId="4" borderId="5" xfId="51" applyNumberFormat="1" applyFont="1" applyFill="1" applyBorder="1" applyAlignment="1">
      <alignment horizontal="center" vertical="center" wrapText="1"/>
    </xf>
    <xf numFmtId="177" fontId="2" fillId="5" borderId="5" xfId="51" applyNumberFormat="1" applyFont="1" applyFill="1" applyBorder="1" applyAlignment="1">
      <alignment horizontal="center" vertical="center" wrapText="1"/>
    </xf>
    <xf numFmtId="177" fontId="2" fillId="10" borderId="5" xfId="51" applyNumberFormat="1" applyFont="1" applyFill="1" applyBorder="1" applyAlignment="1">
      <alignment horizontal="center" vertical="center" wrapText="1"/>
    </xf>
    <xf numFmtId="177" fontId="2" fillId="6" borderId="5" xfId="51" applyNumberFormat="1" applyFont="1" applyFill="1" applyBorder="1" applyAlignment="1">
      <alignment horizontal="center" vertical="center" wrapText="1"/>
    </xf>
    <xf numFmtId="177" fontId="2" fillId="7" borderId="5" xfId="51" applyNumberFormat="1" applyFont="1" applyFill="1" applyBorder="1" applyAlignment="1">
      <alignment horizontal="center" vertical="center" wrapText="1"/>
    </xf>
    <xf numFmtId="177" fontId="2" fillId="9" borderId="5" xfId="51" applyNumberFormat="1" applyFont="1" applyFill="1" applyBorder="1" applyAlignment="1">
      <alignment horizontal="center" vertical="center" wrapText="1"/>
    </xf>
    <xf numFmtId="49" fontId="2" fillId="0" borderId="0" xfId="51" applyNumberFormat="1" applyFont="1" applyAlignment="1">
      <alignment horizontal="center" vertical="center" wrapText="1"/>
    </xf>
    <xf numFmtId="177" fontId="2" fillId="3" borderId="0" xfId="51" applyNumberFormat="1" applyFont="1" applyFill="1" applyAlignment="1">
      <alignment horizontal="center" vertical="center" wrapText="1"/>
    </xf>
    <xf numFmtId="177" fontId="2" fillId="4" borderId="0" xfId="51" applyNumberFormat="1" applyFont="1" applyFill="1" applyAlignment="1">
      <alignment horizontal="center" vertical="center" wrapText="1"/>
    </xf>
    <xf numFmtId="49" fontId="2" fillId="4" borderId="0" xfId="51" applyNumberFormat="1" applyFont="1" applyFill="1" applyAlignment="1">
      <alignment horizontal="center" vertical="center" wrapText="1"/>
    </xf>
    <xf numFmtId="177" fontId="2" fillId="5" borderId="0" xfId="51" applyNumberFormat="1" applyFont="1" applyFill="1" applyAlignment="1">
      <alignment horizontal="center" vertical="center" wrapText="1"/>
    </xf>
    <xf numFmtId="177" fontId="2" fillId="10" borderId="0" xfId="51" applyNumberFormat="1" applyFont="1" applyFill="1" applyAlignment="1">
      <alignment horizontal="center" vertical="center" wrapText="1"/>
    </xf>
    <xf numFmtId="177" fontId="2" fillId="6" borderId="0" xfId="51" applyNumberFormat="1" applyFont="1" applyFill="1" applyAlignment="1">
      <alignment horizontal="center" vertical="center" wrapText="1"/>
    </xf>
    <xf numFmtId="177" fontId="2" fillId="7" borderId="0" xfId="51" applyNumberFormat="1" applyFont="1" applyFill="1" applyAlignment="1">
      <alignment horizontal="center" vertical="center" wrapText="1"/>
    </xf>
    <xf numFmtId="177" fontId="2" fillId="8" borderId="0" xfId="51" applyNumberFormat="1" applyFont="1" applyFill="1" applyAlignment="1">
      <alignment horizontal="center" vertical="center" wrapText="1"/>
    </xf>
    <xf numFmtId="43" fontId="6" fillId="11" borderId="0" xfId="0" applyNumberFormat="1" applyFont="1" applyFill="1" applyAlignment="1" applyProtection="1">
      <alignment horizontal="center" vertical="center"/>
      <protection locked="0"/>
    </xf>
    <xf numFmtId="177" fontId="2" fillId="9" borderId="0" xfId="51" applyNumberFormat="1" applyFont="1" applyFill="1" applyAlignment="1">
      <alignment horizontal="center" vertical="center" wrapText="1"/>
    </xf>
    <xf numFmtId="0" fontId="1" fillId="0" borderId="0" xfId="52" applyFont="1" applyAlignment="1">
      <alignment horizontal="center" vertical="center" wrapText="1"/>
    </xf>
    <xf numFmtId="14" fontId="1" fillId="0" borderId="0" xfId="52" applyNumberFormat="1" applyFont="1" applyAlignment="1">
      <alignment horizontal="center" vertical="center" wrapText="1"/>
    </xf>
    <xf numFmtId="0" fontId="1" fillId="0" borderId="0" xfId="50" applyAlignment="1">
      <alignment wrapText="1"/>
    </xf>
    <xf numFmtId="0" fontId="0" fillId="8" borderId="0" xfId="49" applyFill="1"/>
    <xf numFmtId="0" fontId="0" fillId="0" borderId="0" xfId="49"/>
    <xf numFmtId="0" fontId="7" fillId="12" borderId="0" xfId="0" applyFont="1" applyFill="1" applyAlignment="1"/>
    <xf numFmtId="0" fontId="0" fillId="0" borderId="0" xfId="0" applyFill="1" applyAlignment="1">
      <alignment vertical="center"/>
    </xf>
    <xf numFmtId="0" fontId="8" fillId="13" borderId="12" xfId="0" applyFont="1" applyFill="1" applyBorder="1" applyAlignment="1">
      <alignment horizontal="center"/>
    </xf>
    <xf numFmtId="0" fontId="8" fillId="14" borderId="12" xfId="0" applyFont="1" applyFill="1" applyBorder="1" applyAlignment="1">
      <alignment horizontal="center"/>
    </xf>
    <xf numFmtId="0" fontId="0" fillId="0" borderId="12" xfId="0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  <cellStyle name="Normal 2 2 2" xfId="50"/>
    <cellStyle name="常规 2 2 7" xfId="51"/>
    <cellStyle name="Normal 4 2 2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ojian/Downloads/BASFAD.BASF.NET/Global/Data/fyu/My%20Documents/Florence%20Yu/Folder%20for%20doc/SSL/Payroll/Salaries%202009-10v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ling"/>
      <sheetName val="Particulars"/>
      <sheetName val="Letter_MPF Spex"/>
      <sheetName val="Letter_MPF Alt"/>
      <sheetName val="Letter_MPF Alternative"/>
      <sheetName val="Letter_MPF"/>
      <sheetName val="Letter_SS"/>
      <sheetName val="Letter_L"/>
      <sheetName val="Headcount"/>
      <sheetName val="Particular"/>
      <sheetName val="Conv"/>
      <sheetName val="payrol sum 0910"/>
      <sheetName val="YTD2"/>
      <sheetName val="YTD1"/>
      <sheetName val="YTD"/>
      <sheetName val="ORSA summary"/>
      <sheetName val="Mar 2010"/>
      <sheetName val="Feb 2010"/>
      <sheetName val="Jan 2010"/>
      <sheetName val="Dec 2009"/>
      <sheetName val="Nov 2009"/>
      <sheetName val="Oct 2009"/>
      <sheetName val="Sep 2009"/>
      <sheetName val="Aug 2009"/>
      <sheetName val="Jul 2009"/>
      <sheetName val="Jun 2009"/>
      <sheetName val="May 2009"/>
      <sheetName val="Apr 2009"/>
      <sheetName val="2009 Mar"/>
      <sheetName val="IIT_compu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1" sqref="A1"/>
    </sheetView>
  </sheetViews>
  <sheetFormatPr defaultColWidth="9" defaultRowHeight="16.8" outlineLevelRow="5" outlineLevelCol="7"/>
  <cols>
    <col min="1" max="3" width="15" customWidth="1"/>
    <col min="6" max="8" width="15" customWidth="1"/>
  </cols>
  <sheetData>
    <row r="1" spans="1:8">
      <c r="A1" s="99" t="s">
        <v>0</v>
      </c>
      <c r="B1" s="99" t="s">
        <v>1</v>
      </c>
      <c r="C1" s="99" t="s">
        <v>2</v>
      </c>
      <c r="D1" s="99" t="s">
        <v>3</v>
      </c>
      <c r="F1" s="100" t="s">
        <v>2</v>
      </c>
      <c r="G1" s="100" t="s">
        <v>4</v>
      </c>
      <c r="H1" s="100" t="s">
        <v>5</v>
      </c>
    </row>
    <row r="2" spans="1:8">
      <c r="A2" s="101" t="s">
        <v>6</v>
      </c>
      <c r="B2" s="101" t="s">
        <v>7</v>
      </c>
      <c r="C2" s="101" t="s">
        <v>8</v>
      </c>
      <c r="D2" s="101" t="s">
        <v>9</v>
      </c>
      <c r="F2" s="101" t="s">
        <v>8</v>
      </c>
      <c r="G2" s="101" t="s">
        <v>10</v>
      </c>
      <c r="H2" s="101" t="s">
        <v>11</v>
      </c>
    </row>
    <row r="3" spans="1:8">
      <c r="A3" s="101" t="s">
        <v>12</v>
      </c>
      <c r="B3" s="101" t="s">
        <v>13</v>
      </c>
      <c r="C3" s="101" t="s">
        <v>14</v>
      </c>
      <c r="D3" s="101" t="s">
        <v>15</v>
      </c>
      <c r="F3" s="101" t="s">
        <v>14</v>
      </c>
      <c r="G3" s="101" t="s">
        <v>16</v>
      </c>
      <c r="H3" s="101" t="s">
        <v>17</v>
      </c>
    </row>
    <row r="4" spans="1:8">
      <c r="A4" s="101" t="s">
        <v>18</v>
      </c>
      <c r="B4" s="101" t="s">
        <v>19</v>
      </c>
      <c r="C4" s="101" t="s">
        <v>8</v>
      </c>
      <c r="D4" s="101" t="s">
        <v>20</v>
      </c>
      <c r="F4" s="101" t="s">
        <v>21</v>
      </c>
      <c r="G4" s="101" t="s">
        <v>22</v>
      </c>
      <c r="H4" s="101" t="s">
        <v>23</v>
      </c>
    </row>
    <row r="5" spans="1:8">
      <c r="A5" s="101" t="s">
        <v>24</v>
      </c>
      <c r="B5" s="101" t="s">
        <v>25</v>
      </c>
      <c r="C5" s="101" t="s">
        <v>21</v>
      </c>
      <c r="D5" s="101" t="s">
        <v>9</v>
      </c>
      <c r="F5" s="101" t="s">
        <v>26</v>
      </c>
      <c r="G5" s="101" t="s">
        <v>27</v>
      </c>
      <c r="H5" s="101" t="s">
        <v>28</v>
      </c>
    </row>
    <row r="6" spans="1:8">
      <c r="A6" s="101" t="s">
        <v>29</v>
      </c>
      <c r="B6" s="101" t="s">
        <v>30</v>
      </c>
      <c r="C6" s="101" t="s">
        <v>31</v>
      </c>
      <c r="D6" s="10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G6" sqref="G6"/>
    </sheetView>
  </sheetViews>
  <sheetFormatPr defaultColWidth="9" defaultRowHeight="16.8" outlineLevelRow="4" outlineLevelCol="3"/>
  <cols>
    <col min="1" max="1" width="12.6538461538462" customWidth="1"/>
    <col min="2" max="2" width="13.6153846153846" customWidth="1"/>
    <col min="3" max="3" width="15.5384615384615" customWidth="1"/>
    <col min="4" max="4" width="18.7403846153846" customWidth="1"/>
  </cols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 t="s">
        <v>9</v>
      </c>
      <c r="B2">
        <v>5000</v>
      </c>
      <c r="C2">
        <v>1000</v>
      </c>
      <c r="D2">
        <v>6000</v>
      </c>
    </row>
    <row r="3" spans="1:4">
      <c r="A3" t="s">
        <v>15</v>
      </c>
      <c r="B3">
        <v>8000</v>
      </c>
      <c r="C3">
        <v>2000</v>
      </c>
      <c r="D3">
        <v>10000</v>
      </c>
    </row>
    <row r="4" spans="1:4">
      <c r="A4" t="s">
        <v>20</v>
      </c>
      <c r="B4">
        <v>12000</v>
      </c>
      <c r="C4">
        <v>5000</v>
      </c>
      <c r="D4">
        <v>15000</v>
      </c>
    </row>
    <row r="5" spans="1:4">
      <c r="A5" t="s">
        <v>36</v>
      </c>
      <c r="B5">
        <v>20000</v>
      </c>
      <c r="C5">
        <v>10000</v>
      </c>
      <c r="D5">
        <v>30000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H28" sqref="H28"/>
    </sheetView>
  </sheetViews>
  <sheetFormatPr defaultColWidth="9.23076923076923" defaultRowHeight="16.8" outlineLevelRow="7" outlineLevelCol="2"/>
  <sheetData>
    <row r="1" spans="1:3">
      <c r="A1" s="97" t="s">
        <v>37</v>
      </c>
      <c r="B1" s="97" t="s">
        <v>38</v>
      </c>
      <c r="C1" s="97" t="s">
        <v>39</v>
      </c>
    </row>
    <row r="2" spans="1:3">
      <c r="A2" s="98" t="s">
        <v>40</v>
      </c>
      <c r="B2" s="98">
        <v>25</v>
      </c>
      <c r="C2" s="98">
        <v>5000</v>
      </c>
    </row>
    <row r="3" spans="1:3">
      <c r="A3" s="98" t="s">
        <v>41</v>
      </c>
      <c r="B3" s="98">
        <v>30</v>
      </c>
      <c r="C3" s="98">
        <v>6000</v>
      </c>
    </row>
    <row r="4" spans="1:3">
      <c r="A4" s="98"/>
      <c r="B4" s="98"/>
      <c r="C4" s="98"/>
    </row>
    <row r="5" spans="1:3">
      <c r="A5" s="98"/>
      <c r="B5" s="98"/>
      <c r="C5" s="98"/>
    </row>
    <row r="6" spans="1:3">
      <c r="A6" s="97" t="s">
        <v>39</v>
      </c>
      <c r="B6" s="97" t="s">
        <v>37</v>
      </c>
      <c r="C6" s="97" t="s">
        <v>38</v>
      </c>
    </row>
    <row r="7" spans="1:3">
      <c r="A7" s="98">
        <v>7000</v>
      </c>
      <c r="B7" s="98" t="s">
        <v>42</v>
      </c>
      <c r="C7" s="98">
        <v>28</v>
      </c>
    </row>
    <row r="8" spans="1:3">
      <c r="A8" s="98">
        <v>8000</v>
      </c>
      <c r="B8" s="98" t="s">
        <v>43</v>
      </c>
      <c r="C8" s="98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.23076923076923" defaultRowHeight="16.8" outlineLevelRow="6" outlineLevelCol="6"/>
  <cols>
    <col min="1" max="1" width="9.76923076923077" customWidth="1"/>
  </cols>
  <sheetData>
    <row r="1" spans="1:7">
      <c r="A1" s="97" t="s">
        <v>44</v>
      </c>
      <c r="B1" s="97" t="s">
        <v>38</v>
      </c>
      <c r="C1" s="97" t="s">
        <v>45</v>
      </c>
    </row>
    <row r="2" spans="1:7">
      <c r="A2" s="98" t="s">
        <v>46</v>
      </c>
      <c r="B2" s="98">
        <v>22</v>
      </c>
      <c r="C2" s="98">
        <v>4500</v>
      </c>
    </row>
    <row r="3" spans="1:7">
      <c r="A3" s="98" t="s">
        <v>47</v>
      </c>
      <c r="B3" s="98">
        <v>27</v>
      </c>
      <c r="C3" s="98">
        <v>5500</v>
      </c>
    </row>
    <row r="4" spans="1:7">
      <c r="A4" s="98"/>
      <c r="B4" s="98"/>
      <c r="C4" s="98"/>
    </row>
    <row r="5" spans="1:7">
      <c r="A5" s="98"/>
      <c r="B5" s="98"/>
      <c r="C5" s="98"/>
      <c r="E5" s="97" t="s">
        <v>48</v>
      </c>
      <c r="F5" s="97" t="s">
        <v>49</v>
      </c>
      <c r="G5" s="97" t="s">
        <v>50</v>
      </c>
    </row>
    <row r="6" spans="1:7">
      <c r="E6" s="98" t="s">
        <v>51</v>
      </c>
      <c r="F6" s="98">
        <v>24</v>
      </c>
      <c r="G6" s="98">
        <v>4800</v>
      </c>
    </row>
    <row r="7" spans="1:7">
      <c r="E7" s="98" t="s">
        <v>52</v>
      </c>
      <c r="F7" s="98">
        <v>31</v>
      </c>
      <c r="G7" s="98">
        <v>6200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3" sqref="A3"/>
    </sheetView>
  </sheetViews>
  <sheetFormatPr defaultColWidth="9.23076923076923" defaultRowHeight="16.8" outlineLevelRow="4" outlineLevelCol="4"/>
  <cols>
    <col min="1" max="1" width="16.5" customWidth="1"/>
    <col min="2" max="2" width="16.9807692307692" customWidth="1"/>
    <col min="3" max="3" width="27.2403846153846" customWidth="1"/>
    <col min="4" max="4" width="13.2980769230769" customWidth="1"/>
    <col min="5" max="5" width="10.25" customWidth="1"/>
  </cols>
  <sheetData>
    <row r="1" spans="1:5">
      <c r="A1" s="95" t="s">
        <v>53</v>
      </c>
      <c r="B1" s="95" t="s">
        <v>54</v>
      </c>
      <c r="C1" s="95" t="s">
        <v>55</v>
      </c>
      <c r="D1" s="95" t="s">
        <v>56</v>
      </c>
      <c r="E1" s="95" t="s">
        <v>57</v>
      </c>
    </row>
    <row r="2" spans="1:5">
      <c r="A2" s="96" t="s">
        <v>6</v>
      </c>
      <c r="B2" s="96" t="s">
        <v>7</v>
      </c>
      <c r="C2" s="96" t="s">
        <v>58</v>
      </c>
      <c r="D2" s="96">
        <v>3530.75</v>
      </c>
      <c r="E2" s="96" t="s">
        <v>59</v>
      </c>
    </row>
    <row r="3" spans="1:5">
      <c r="A3" s="96" t="s">
        <v>12</v>
      </c>
      <c r="B3" s="96" t="s">
        <v>13</v>
      </c>
      <c r="C3" s="96" t="s">
        <v>58</v>
      </c>
      <c r="D3" s="96">
        <v>24456.59</v>
      </c>
      <c r="E3" s="96" t="s">
        <v>59</v>
      </c>
    </row>
    <row r="4" spans="1:5">
      <c r="A4" s="96" t="s">
        <v>18</v>
      </c>
      <c r="B4" s="96" t="s">
        <v>19</v>
      </c>
      <c r="C4" s="96" t="s">
        <v>60</v>
      </c>
      <c r="D4" s="96">
        <v>14757.82</v>
      </c>
      <c r="E4" s="96" t="s">
        <v>61</v>
      </c>
    </row>
    <row r="5" spans="1:5">
      <c r="A5" s="96" t="s">
        <v>24</v>
      </c>
      <c r="B5" s="96" t="s">
        <v>25</v>
      </c>
      <c r="C5" s="96" t="s">
        <v>62</v>
      </c>
      <c r="D5" s="96">
        <v>300</v>
      </c>
      <c r="E5" s="96" t="s">
        <v>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4" sqref="B4"/>
    </sheetView>
  </sheetViews>
  <sheetFormatPr defaultColWidth="9.23076923076923" defaultRowHeight="16.8" outlineLevelRow="4" outlineLevelCol="7"/>
  <cols>
    <col min="1" max="1" width="14.5769230769231" customWidth="1"/>
    <col min="2" max="2" width="20.5096153846154" customWidth="1"/>
    <col min="3" max="3" width="37.1730769230769" customWidth="1"/>
    <col min="4" max="4" width="14.0961538461538" customWidth="1"/>
    <col min="6" max="6" width="62.8173076923077" customWidth="1"/>
    <col min="7" max="7" width="23.7115384615385" customWidth="1"/>
    <col min="8" max="8" width="20.3461538461538" customWidth="1"/>
  </cols>
  <sheetData>
    <row r="1" spans="1:8">
      <c r="A1" s="95" t="s">
        <v>53</v>
      </c>
      <c r="B1" s="95" t="s">
        <v>54</v>
      </c>
      <c r="C1" s="95" t="s">
        <v>55</v>
      </c>
      <c r="D1" s="95" t="s">
        <v>56</v>
      </c>
      <c r="E1" s="95" t="s">
        <v>57</v>
      </c>
      <c r="F1" s="95" t="s">
        <v>63</v>
      </c>
      <c r="G1" s="95" t="s">
        <v>64</v>
      </c>
      <c r="H1" s="95" t="s">
        <v>65</v>
      </c>
    </row>
    <row r="2" spans="1:8">
      <c r="A2" s="96" t="s">
        <v>6</v>
      </c>
      <c r="B2" s="96" t="s">
        <v>7</v>
      </c>
      <c r="C2" s="96" t="s">
        <v>66</v>
      </c>
      <c r="D2" s="96">
        <v>22000</v>
      </c>
      <c r="E2" s="96" t="s">
        <v>59</v>
      </c>
      <c r="F2" s="96" t="s">
        <v>67</v>
      </c>
      <c r="G2" s="96" t="s">
        <v>68</v>
      </c>
      <c r="H2" s="96" t="s">
        <v>69</v>
      </c>
    </row>
    <row r="3" spans="1:8">
      <c r="A3" s="96" t="s">
        <v>12</v>
      </c>
      <c r="B3" s="96" t="s">
        <v>13</v>
      </c>
      <c r="C3" s="96" t="s">
        <v>66</v>
      </c>
      <c r="D3" s="96">
        <v>80521.28</v>
      </c>
      <c r="E3" s="96" t="s">
        <v>59</v>
      </c>
      <c r="F3" s="96" t="s">
        <v>70</v>
      </c>
      <c r="G3" s="96" t="s">
        <v>71</v>
      </c>
      <c r="H3" s="96" t="s">
        <v>72</v>
      </c>
    </row>
    <row r="4" spans="1:8">
      <c r="A4" s="96" t="s">
        <v>18</v>
      </c>
      <c r="B4" s="96" t="s">
        <v>19</v>
      </c>
      <c r="C4" s="96" t="s">
        <v>66</v>
      </c>
      <c r="D4" s="96">
        <v>22666.68</v>
      </c>
      <c r="E4" s="96" t="s">
        <v>59</v>
      </c>
      <c r="F4" s="96" t="s">
        <v>70</v>
      </c>
      <c r="G4" s="96" t="s">
        <v>73</v>
      </c>
      <c r="H4" s="96" t="s">
        <v>72</v>
      </c>
    </row>
    <row r="5" spans="1:8">
      <c r="A5" s="96"/>
      <c r="B5" s="9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44"/>
  <sheetViews>
    <sheetView workbookViewId="0">
      <selection activeCell="H21" sqref="H21"/>
    </sheetView>
  </sheetViews>
  <sheetFormatPr defaultColWidth="9.69230769230769" defaultRowHeight="15.2"/>
  <cols>
    <col min="1" max="1" width="14.2307692307692" style="1" customWidth="1"/>
    <col min="2" max="2" width="16" style="4" customWidth="1"/>
    <col min="3" max="3" width="11.6153846153846" style="4" customWidth="1"/>
    <col min="4" max="5" width="9.69230769230769" style="4"/>
    <col min="6" max="8" width="17.0769230769231" style="5" customWidth="1"/>
    <col min="9" max="9" width="17.6153846153846" style="6" hidden="1" customWidth="1"/>
    <col min="10" max="11" width="10.9230769230769" style="6" hidden="1" customWidth="1"/>
    <col min="12" max="14" width="13.7692307692308" style="6" hidden="1" customWidth="1"/>
    <col min="15" max="16" width="10.9230769230769" style="6" hidden="1" customWidth="1"/>
    <col min="17" max="17" width="12.5384615384615" style="6" hidden="1" customWidth="1"/>
    <col min="18" max="18" width="10.9230769230769" style="6" hidden="1" customWidth="1"/>
    <col min="19" max="19" width="12.0769230769231" style="6" hidden="1" customWidth="1"/>
    <col min="20" max="20" width="26" style="6" hidden="1" customWidth="1"/>
    <col min="21" max="21" width="19.1538461538462" style="6" hidden="1" customWidth="1"/>
    <col min="22" max="22" width="11.6153846153846" style="6" hidden="1" customWidth="1"/>
    <col min="23" max="23" width="12.0769230769231" style="6" hidden="1" customWidth="1"/>
    <col min="24" max="24" width="13.3076923076923" style="6" hidden="1" customWidth="1"/>
    <col min="25" max="25" width="9.84615384615385" style="6" hidden="1" customWidth="1"/>
    <col min="26" max="26" width="10.9230769230769" style="6" hidden="1" customWidth="1"/>
    <col min="27" max="27" width="13.7692307692308" style="6" hidden="1" customWidth="1"/>
    <col min="28" max="28" width="18.0769230769231" style="6" hidden="1" customWidth="1"/>
    <col min="29" max="29" width="21.9230769230769" style="6" hidden="1" customWidth="1"/>
    <col min="30" max="30" width="22.7692307692308" style="6" hidden="1" customWidth="1"/>
    <col min="31" max="31" width="15.2307692307692" style="6" hidden="1" customWidth="1"/>
    <col min="32" max="32" width="21.6923076923077" style="6" hidden="1" customWidth="1"/>
    <col min="33" max="33" width="19.2307692307692" style="6" hidden="1" customWidth="1"/>
    <col min="34" max="34" width="13.7692307692308" style="6" hidden="1" customWidth="1"/>
    <col min="35" max="35" width="13.7692307692308" style="6" customWidth="1"/>
    <col min="36" max="36" width="12.0769230769231" style="6" customWidth="1"/>
    <col min="37" max="37" width="14.1538461538462" style="6" customWidth="1"/>
    <col min="38" max="38" width="18.5384615384615" style="6" customWidth="1"/>
    <col min="39" max="39" width="14.6923076923077" style="6" customWidth="1"/>
    <col min="40" max="40" width="13.3076923076923" style="6" customWidth="1"/>
    <col min="41" max="41" width="21.3076923076923" style="6" customWidth="1"/>
    <col min="42" max="42" width="18.4615384615385" style="6" customWidth="1"/>
    <col min="43" max="43" width="20.4615384615385" style="6" customWidth="1"/>
    <col min="44" max="44" width="13.3076923076923" style="6" customWidth="1"/>
    <col min="45" max="45" width="28.6923076923077" style="6" customWidth="1"/>
    <col min="46" max="46" width="13.7692307692308" style="6" customWidth="1"/>
    <col min="47" max="47" width="12.0769230769231" style="6" customWidth="1"/>
    <col min="48" max="48" width="34.3076923076923" style="6" customWidth="1"/>
    <col min="49" max="49" width="13.3076923076923" style="6" customWidth="1"/>
    <col min="50" max="52" width="21.1538461538462" style="6" customWidth="1"/>
    <col min="53" max="53" width="20.6153846153846" style="6" customWidth="1"/>
    <col min="54" max="56" width="21.0769230769231" style="6" customWidth="1"/>
    <col min="57" max="57" width="15.7692307692308" style="6" customWidth="1"/>
    <col min="58" max="58" width="19.7692307692308" style="6" customWidth="1"/>
    <col min="59" max="59" width="20" style="6" customWidth="1"/>
    <col min="60" max="60" width="13.3076923076923" style="6" customWidth="1"/>
    <col min="61" max="61" width="23.0769230769231" style="6" customWidth="1"/>
    <col min="62" max="62" width="27.0769230769231" style="6" customWidth="1"/>
    <col min="63" max="63" width="35.1538461538462" style="6" customWidth="1"/>
    <col min="64" max="64" width="28.8461538461538" style="6" customWidth="1"/>
    <col min="65" max="65" width="23.0769230769231" style="6" customWidth="1"/>
    <col min="66" max="66" width="13.3076923076923" style="6" customWidth="1"/>
    <col min="67" max="67" width="29.3076923076923" style="6" customWidth="1"/>
    <col min="68" max="68" width="27.0769230769231" style="6" customWidth="1"/>
    <col min="69" max="69" width="23.2307692307692" style="6" customWidth="1"/>
    <col min="70" max="70" width="19.6153846153846" style="6" customWidth="1"/>
    <col min="71" max="71" width="13.7692307692308" style="6" customWidth="1"/>
    <col min="72" max="72" width="91.3846153846154" style="7" customWidth="1"/>
    <col min="73" max="16384" width="9.69230769230769" style="1"/>
  </cols>
  <sheetData>
    <row r="1" s="1" customFormat="1" ht="15.95" spans="1:72">
      <c r="A1" s="6">
        <f>BE1+BL1+BF1+BG1</f>
        <v>929180.8547752</v>
      </c>
      <c r="B1" s="4"/>
      <c r="C1" s="4"/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8">
        <f>SUM(BE8:BE8159)</f>
        <v>26253.531</v>
      </c>
      <c r="BF1" s="8">
        <f>SUM(BF8:BF8159)</f>
        <v>167721.2137752</v>
      </c>
      <c r="BG1" s="8">
        <f>SUM(BG8:BG8159)</f>
        <v>22599.2</v>
      </c>
      <c r="BH1" s="6"/>
      <c r="BI1" s="6"/>
      <c r="BJ1" s="6"/>
      <c r="BK1" s="6"/>
      <c r="BL1" s="8">
        <f>SUM(BL8:BL8159)</f>
        <v>712606.91</v>
      </c>
      <c r="BM1" s="6"/>
      <c r="BN1" s="6"/>
      <c r="BO1" s="6"/>
      <c r="BP1" s="6"/>
      <c r="BQ1" s="6"/>
      <c r="BR1" s="6"/>
      <c r="BS1" s="6"/>
      <c r="BT1" s="7"/>
    </row>
    <row r="2" s="2" customFormat="1" ht="39" customHeight="1" spans="1:72">
      <c r="B2" s="9" t="s">
        <v>74</v>
      </c>
      <c r="C2" s="9" t="s">
        <v>37</v>
      </c>
      <c r="D2" s="9" t="s">
        <v>75</v>
      </c>
      <c r="E2" s="9" t="s">
        <v>76</v>
      </c>
      <c r="F2" s="10" t="s">
        <v>77</v>
      </c>
      <c r="G2" s="10" t="s">
        <v>77</v>
      </c>
      <c r="H2" s="10" t="s">
        <v>77</v>
      </c>
      <c r="I2" s="11" t="s">
        <v>78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  <c r="AI2" s="14" t="s">
        <v>79</v>
      </c>
      <c r="AJ2" s="15"/>
      <c r="AK2" s="16" t="s">
        <v>80</v>
      </c>
      <c r="AL2" s="17"/>
      <c r="AM2" s="18" t="s">
        <v>81</v>
      </c>
      <c r="AN2" s="18"/>
      <c r="AO2" s="18"/>
      <c r="AP2" s="19" t="s">
        <v>82</v>
      </c>
      <c r="AQ2" s="20"/>
      <c r="AR2" s="20"/>
      <c r="AS2" s="21"/>
      <c r="AT2" s="22" t="s">
        <v>83</v>
      </c>
      <c r="AU2" s="23"/>
      <c r="AV2" s="23"/>
      <c r="AW2" s="23"/>
      <c r="AX2" s="23"/>
      <c r="AY2" s="23"/>
      <c r="AZ2" s="24"/>
      <c r="BA2" s="25" t="s">
        <v>84</v>
      </c>
      <c r="BB2" s="26"/>
      <c r="BC2" s="26"/>
      <c r="BD2" s="26"/>
      <c r="BE2" s="27" t="s">
        <v>85</v>
      </c>
      <c r="BF2" s="25" t="s">
        <v>86</v>
      </c>
      <c r="BG2" s="26"/>
      <c r="BH2" s="26"/>
      <c r="BI2" s="26"/>
      <c r="BJ2" s="26"/>
      <c r="BK2" s="28" t="s">
        <v>87</v>
      </c>
      <c r="BL2" s="29"/>
      <c r="BM2" s="29"/>
      <c r="BN2" s="29"/>
      <c r="BO2" s="29"/>
      <c r="BP2" s="29"/>
      <c r="BQ2" s="29"/>
      <c r="BR2" s="29"/>
      <c r="BS2" s="29"/>
      <c r="BT2" s="30"/>
    </row>
    <row r="3" s="2" customFormat="1" ht="21.75" customHeight="1" spans="1:72">
      <c r="B3" s="31"/>
      <c r="C3" s="31"/>
      <c r="D3" s="31"/>
      <c r="E3" s="31"/>
      <c r="F3" s="32"/>
      <c r="G3" s="32"/>
      <c r="H3" s="32"/>
      <c r="I3" s="33" t="s">
        <v>88</v>
      </c>
      <c r="J3" s="34" t="s">
        <v>89</v>
      </c>
      <c r="K3" s="34" t="s">
        <v>90</v>
      </c>
      <c r="L3" s="34" t="s">
        <v>91</v>
      </c>
      <c r="M3" s="34" t="s">
        <v>92</v>
      </c>
      <c r="N3" s="34" t="s">
        <v>93</v>
      </c>
      <c r="O3" s="34" t="s">
        <v>94</v>
      </c>
      <c r="P3" s="34" t="s">
        <v>95</v>
      </c>
      <c r="Q3" s="34" t="s">
        <v>96</v>
      </c>
      <c r="R3" s="34" t="s">
        <v>97</v>
      </c>
      <c r="S3" s="34" t="s">
        <v>98</v>
      </c>
      <c r="T3" s="34" t="s">
        <v>99</v>
      </c>
      <c r="U3" s="34" t="s">
        <v>100</v>
      </c>
      <c r="V3" s="34" t="s">
        <v>101</v>
      </c>
      <c r="W3" s="34" t="s">
        <v>102</v>
      </c>
      <c r="X3" s="34" t="s">
        <v>103</v>
      </c>
      <c r="Y3" s="34" t="s">
        <v>104</v>
      </c>
      <c r="Z3" s="34" t="s">
        <v>105</v>
      </c>
      <c r="AA3" s="34" t="s">
        <v>106</v>
      </c>
      <c r="AB3" s="34" t="s">
        <v>107</v>
      </c>
      <c r="AC3" s="34" t="s">
        <v>108</v>
      </c>
      <c r="AD3" s="34" t="s">
        <v>109</v>
      </c>
      <c r="AE3" s="34" t="s">
        <v>110</v>
      </c>
      <c r="AF3" s="34" t="s">
        <v>111</v>
      </c>
      <c r="AG3" s="35" t="s">
        <v>112</v>
      </c>
      <c r="AH3" s="34" t="s">
        <v>113</v>
      </c>
      <c r="AI3" s="36" t="s">
        <v>114</v>
      </c>
      <c r="AJ3" s="36" t="s">
        <v>115</v>
      </c>
      <c r="AK3" s="36" t="s">
        <v>116</v>
      </c>
      <c r="AL3" s="36" t="s">
        <v>117</v>
      </c>
      <c r="AM3" s="37" t="s">
        <v>118</v>
      </c>
      <c r="AN3" s="38" t="s">
        <v>119</v>
      </c>
      <c r="AO3" s="38" t="s">
        <v>120</v>
      </c>
      <c r="AP3" s="39" t="s">
        <v>121</v>
      </c>
      <c r="AQ3" s="39" t="s">
        <v>122</v>
      </c>
      <c r="AR3" s="40" t="s">
        <v>119</v>
      </c>
      <c r="AS3" s="40" t="s">
        <v>123</v>
      </c>
      <c r="AT3" s="41" t="s">
        <v>124</v>
      </c>
      <c r="AU3" s="42"/>
      <c r="AV3" s="43" t="s">
        <v>125</v>
      </c>
      <c r="AW3" s="40" t="s">
        <v>119</v>
      </c>
      <c r="AX3" s="40" t="s">
        <v>126</v>
      </c>
      <c r="AY3" s="40" t="s">
        <v>126</v>
      </c>
      <c r="AZ3" s="40" t="s">
        <v>126</v>
      </c>
      <c r="BA3" s="44" t="s">
        <v>127</v>
      </c>
      <c r="BB3" s="44" t="s">
        <v>128</v>
      </c>
      <c r="BC3" s="44" t="s">
        <v>129</v>
      </c>
      <c r="BD3" s="44" t="s">
        <v>130</v>
      </c>
      <c r="BE3" s="44" t="s">
        <v>131</v>
      </c>
      <c r="BF3" s="44" t="s">
        <v>132</v>
      </c>
      <c r="BG3" s="44" t="s">
        <v>133</v>
      </c>
      <c r="BH3" s="38" t="s">
        <v>119</v>
      </c>
      <c r="BI3" s="40" t="s">
        <v>134</v>
      </c>
      <c r="BJ3" s="40" t="s">
        <v>135</v>
      </c>
      <c r="BK3" s="45" t="s">
        <v>136</v>
      </c>
      <c r="BL3" s="45" t="s">
        <v>137</v>
      </c>
      <c r="BM3" s="45" t="s">
        <v>138</v>
      </c>
      <c r="BN3" s="40" t="s">
        <v>119</v>
      </c>
      <c r="BO3" s="40" t="s">
        <v>139</v>
      </c>
      <c r="BP3" s="40" t="s">
        <v>140</v>
      </c>
      <c r="BQ3" s="38" t="s">
        <v>141</v>
      </c>
      <c r="BR3" s="45" t="s">
        <v>142</v>
      </c>
      <c r="BS3" s="46" t="s">
        <v>143</v>
      </c>
      <c r="BT3" s="47" t="s">
        <v>117</v>
      </c>
    </row>
    <row r="4" s="2" customFormat="1" ht="21.75" customHeight="1" spans="1:72">
      <c r="B4" s="48"/>
      <c r="C4" s="48"/>
      <c r="D4" s="48"/>
      <c r="E4" s="48"/>
      <c r="F4" s="49"/>
      <c r="G4" s="49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1" t="s">
        <v>112</v>
      </c>
      <c r="AH4" s="50"/>
      <c r="AI4" s="52"/>
      <c r="AJ4" s="52"/>
      <c r="AK4" s="52"/>
      <c r="AL4" s="52"/>
      <c r="AM4" s="53"/>
      <c r="AN4" s="54"/>
      <c r="AO4" s="54"/>
      <c r="AP4" s="55"/>
      <c r="AQ4" s="55"/>
      <c r="AR4" s="54"/>
      <c r="AS4" s="54"/>
      <c r="AT4" s="56"/>
      <c r="AU4" s="57"/>
      <c r="AV4" s="58"/>
      <c r="AW4" s="54"/>
      <c r="AX4" s="54"/>
      <c r="AY4" s="54"/>
      <c r="AZ4" s="54"/>
      <c r="BA4" s="59"/>
      <c r="BB4" s="59"/>
      <c r="BC4" s="59"/>
      <c r="BD4" s="59"/>
      <c r="BE4" s="59"/>
      <c r="BF4" s="59"/>
      <c r="BG4" s="59"/>
      <c r="BH4" s="54"/>
      <c r="BI4" s="54"/>
      <c r="BJ4" s="54"/>
      <c r="BK4" s="60"/>
      <c r="BL4" s="60"/>
      <c r="BM4" s="60"/>
      <c r="BN4" s="54"/>
      <c r="BO4" s="54"/>
      <c r="BP4" s="54"/>
      <c r="BQ4" s="54"/>
      <c r="BR4" s="60"/>
      <c r="BS4" s="61"/>
      <c r="BT4" s="60"/>
    </row>
    <row r="5" s="2" customFormat="1" ht="44.5" customHeight="1" spans="1:72">
      <c r="B5" s="9" t="s">
        <v>53</v>
      </c>
      <c r="C5" s="9" t="s">
        <v>144</v>
      </c>
      <c r="D5" s="9" t="s">
        <v>145</v>
      </c>
      <c r="E5" s="9" t="s">
        <v>146</v>
      </c>
      <c r="F5" s="9" t="s">
        <v>147</v>
      </c>
      <c r="G5" s="9" t="s">
        <v>147</v>
      </c>
      <c r="H5" s="9" t="s">
        <v>147</v>
      </c>
      <c r="I5" s="62" t="s">
        <v>148</v>
      </c>
      <c r="J5" s="62" t="s">
        <v>149</v>
      </c>
      <c r="K5" s="62" t="s">
        <v>150</v>
      </c>
      <c r="L5" s="62" t="s">
        <v>151</v>
      </c>
      <c r="M5" s="62" t="s">
        <v>152</v>
      </c>
      <c r="N5" s="62" t="s">
        <v>153</v>
      </c>
      <c r="O5" s="62" t="s">
        <v>154</v>
      </c>
      <c r="P5" s="62" t="s">
        <v>155</v>
      </c>
      <c r="Q5" s="62" t="s">
        <v>156</v>
      </c>
      <c r="R5" s="62" t="s">
        <v>157</v>
      </c>
      <c r="S5" s="62" t="s">
        <v>158</v>
      </c>
      <c r="T5" s="62" t="s">
        <v>159</v>
      </c>
      <c r="U5" s="62" t="s">
        <v>160</v>
      </c>
      <c r="V5" s="62" t="s">
        <v>161</v>
      </c>
      <c r="W5" s="62" t="s">
        <v>162</v>
      </c>
      <c r="X5" s="62" t="s">
        <v>163</v>
      </c>
      <c r="Y5" s="63" t="s">
        <v>164</v>
      </c>
      <c r="Z5" s="63" t="s">
        <v>165</v>
      </c>
      <c r="AA5" s="63" t="s">
        <v>166</v>
      </c>
      <c r="AB5" s="63" t="s">
        <v>167</v>
      </c>
      <c r="AC5" s="63" t="s">
        <v>168</v>
      </c>
      <c r="AD5" s="63" t="s">
        <v>169</v>
      </c>
      <c r="AE5" s="63" t="s">
        <v>170</v>
      </c>
      <c r="AF5" s="63" t="s">
        <v>171</v>
      </c>
      <c r="AG5" s="63" t="s">
        <v>172</v>
      </c>
      <c r="AH5" s="63" t="s">
        <v>173</v>
      </c>
      <c r="AI5" s="64" t="s">
        <v>174</v>
      </c>
      <c r="AJ5" s="64" t="s">
        <v>175</v>
      </c>
      <c r="AK5" s="65" t="s">
        <v>176</v>
      </c>
      <c r="AL5" s="65" t="s">
        <v>177</v>
      </c>
      <c r="AM5" s="66" t="s">
        <v>178</v>
      </c>
      <c r="AN5" s="67" t="s">
        <v>179</v>
      </c>
      <c r="AO5" s="67" t="s">
        <v>180</v>
      </c>
      <c r="AP5" s="68" t="s">
        <v>181</v>
      </c>
      <c r="AQ5" s="68" t="s">
        <v>182</v>
      </c>
      <c r="AR5" s="67" t="s">
        <v>179</v>
      </c>
      <c r="AS5" s="67" t="s">
        <v>183</v>
      </c>
      <c r="AT5" s="69" t="s">
        <v>184</v>
      </c>
      <c r="AU5" s="69" t="s">
        <v>185</v>
      </c>
      <c r="AV5" s="70"/>
      <c r="AW5" s="67" t="s">
        <v>179</v>
      </c>
      <c r="AX5" s="67" t="s">
        <v>186</v>
      </c>
      <c r="AY5" s="67" t="s">
        <v>187</v>
      </c>
      <c r="AZ5" s="67" t="s">
        <v>188</v>
      </c>
      <c r="BA5" s="71" t="s">
        <v>189</v>
      </c>
      <c r="BB5" s="71" t="s">
        <v>190</v>
      </c>
      <c r="BC5" s="71" t="s">
        <v>191</v>
      </c>
      <c r="BD5" s="71" t="s">
        <v>192</v>
      </c>
      <c r="BE5" s="71" t="s">
        <v>193</v>
      </c>
      <c r="BF5" s="71" t="s">
        <v>194</v>
      </c>
      <c r="BG5" s="71" t="s">
        <v>195</v>
      </c>
      <c r="BH5" s="67" t="s">
        <v>179</v>
      </c>
      <c r="BI5" s="67" t="s">
        <v>196</v>
      </c>
      <c r="BJ5" s="67" t="s">
        <v>197</v>
      </c>
      <c r="BK5" s="72" t="s">
        <v>198</v>
      </c>
      <c r="BL5" s="72" t="s">
        <v>199</v>
      </c>
      <c r="BM5" s="72" t="s">
        <v>200</v>
      </c>
      <c r="BN5" s="67" t="s">
        <v>179</v>
      </c>
      <c r="BO5" s="67" t="s">
        <v>201</v>
      </c>
      <c r="BP5" s="67" t="s">
        <v>202</v>
      </c>
      <c r="BQ5" s="67" t="s">
        <v>203</v>
      </c>
      <c r="BR5" s="72" t="s">
        <v>204</v>
      </c>
      <c r="BS5" s="73" t="s">
        <v>205</v>
      </c>
      <c r="BT5" s="72" t="s">
        <v>177</v>
      </c>
    </row>
    <row r="6" s="3" customFormat="1" ht="62.5" spans="1:72">
      <c r="B6" s="48"/>
      <c r="C6" s="48"/>
      <c r="D6" s="48"/>
      <c r="E6" s="48"/>
      <c r="F6" s="48"/>
      <c r="G6" s="48"/>
      <c r="H6" s="48"/>
      <c r="I6" s="63" t="s">
        <v>61</v>
      </c>
      <c r="J6" s="63" t="s">
        <v>61</v>
      </c>
      <c r="K6" s="63" t="s">
        <v>61</v>
      </c>
      <c r="L6" s="63" t="s">
        <v>61</v>
      </c>
      <c r="M6" s="63" t="s">
        <v>61</v>
      </c>
      <c r="N6" s="63" t="s">
        <v>61</v>
      </c>
      <c r="O6" s="63" t="s">
        <v>61</v>
      </c>
      <c r="P6" s="63" t="s">
        <v>61</v>
      </c>
      <c r="Q6" s="63" t="s">
        <v>61</v>
      </c>
      <c r="R6" s="63" t="s">
        <v>61</v>
      </c>
      <c r="S6" s="63" t="s">
        <v>61</v>
      </c>
      <c r="T6" s="63" t="s">
        <v>61</v>
      </c>
      <c r="U6" s="63" t="s">
        <v>61</v>
      </c>
      <c r="V6" s="63" t="s">
        <v>61</v>
      </c>
      <c r="W6" s="63" t="s">
        <v>61</v>
      </c>
      <c r="X6" s="63" t="s">
        <v>61</v>
      </c>
      <c r="Y6" s="63" t="s">
        <v>61</v>
      </c>
      <c r="Z6" s="63" t="s">
        <v>61</v>
      </c>
      <c r="AA6" s="63" t="s">
        <v>61</v>
      </c>
      <c r="AB6" s="63" t="s">
        <v>61</v>
      </c>
      <c r="AC6" s="63" t="s">
        <v>61</v>
      </c>
      <c r="AD6" s="63" t="s">
        <v>61</v>
      </c>
      <c r="AE6" s="63" t="s">
        <v>61</v>
      </c>
      <c r="AF6" s="63" t="s">
        <v>61</v>
      </c>
      <c r="AG6" s="63" t="s">
        <v>61</v>
      </c>
      <c r="AH6" s="63" t="s">
        <v>61</v>
      </c>
      <c r="AI6" s="74" t="s">
        <v>61</v>
      </c>
      <c r="AJ6" s="74" t="s">
        <v>61</v>
      </c>
      <c r="AK6" s="75" t="s">
        <v>61</v>
      </c>
      <c r="AL6" s="75"/>
      <c r="AM6" s="76" t="s">
        <v>206</v>
      </c>
      <c r="AN6" s="77"/>
      <c r="AO6" s="77" t="s">
        <v>207</v>
      </c>
      <c r="AP6" s="78" t="s">
        <v>61</v>
      </c>
      <c r="AQ6" s="78" t="s">
        <v>61</v>
      </c>
      <c r="AR6" s="77"/>
      <c r="AS6" s="77" t="s">
        <v>207</v>
      </c>
      <c r="AT6" s="79" t="s">
        <v>61</v>
      </c>
      <c r="AU6" s="79" t="s">
        <v>61</v>
      </c>
      <c r="AV6" s="79" t="s">
        <v>206</v>
      </c>
      <c r="AW6" s="77"/>
      <c r="AX6" s="77" t="s">
        <v>207</v>
      </c>
      <c r="AY6" s="77" t="s">
        <v>207</v>
      </c>
      <c r="AZ6" s="77" t="s">
        <v>207</v>
      </c>
      <c r="BA6" s="27" t="s">
        <v>61</v>
      </c>
      <c r="BB6" s="27" t="s">
        <v>61</v>
      </c>
      <c r="BC6" s="27" t="s">
        <v>61</v>
      </c>
      <c r="BD6" s="27" t="s">
        <v>61</v>
      </c>
      <c r="BE6" s="27" t="s">
        <v>206</v>
      </c>
      <c r="BF6" s="27" t="s">
        <v>206</v>
      </c>
      <c r="BG6" s="27" t="s">
        <v>206</v>
      </c>
      <c r="BH6" s="77"/>
      <c r="BI6" s="77" t="s">
        <v>207</v>
      </c>
      <c r="BJ6" s="77" t="s">
        <v>207</v>
      </c>
      <c r="BK6" s="80" t="s">
        <v>206</v>
      </c>
      <c r="BL6" s="80" t="s">
        <v>206</v>
      </c>
      <c r="BM6" s="80"/>
      <c r="BN6" s="77"/>
      <c r="BO6" s="77" t="s">
        <v>207</v>
      </c>
      <c r="BP6" s="77" t="s">
        <v>208</v>
      </c>
      <c r="BQ6" s="77"/>
      <c r="BR6" s="80"/>
      <c r="BS6" s="28" t="s">
        <v>61</v>
      </c>
      <c r="BT6" s="80"/>
    </row>
    <row r="7" s="3" customFormat="1" ht="17.55" spans="1:72">
      <c r="A7" s="2" t="s">
        <v>209</v>
      </c>
      <c r="B7" s="81" t="s">
        <v>210</v>
      </c>
      <c r="C7" s="81" t="s">
        <v>211</v>
      </c>
      <c r="D7" s="81"/>
      <c r="E7" s="81"/>
      <c r="F7" s="81"/>
      <c r="G7" s="81" t="s">
        <v>212</v>
      </c>
      <c r="H7" s="81" t="s">
        <v>213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3"/>
      <c r="AJ7" s="83"/>
      <c r="AK7" s="84"/>
      <c r="AL7" s="84"/>
      <c r="AM7" s="85"/>
      <c r="AN7" s="86"/>
      <c r="AO7" s="86"/>
      <c r="AP7" s="87"/>
      <c r="AQ7" s="87"/>
      <c r="AR7" s="86"/>
      <c r="AS7" s="86"/>
      <c r="AT7" s="88"/>
      <c r="AU7" s="88"/>
      <c r="AV7" s="88"/>
      <c r="AW7" s="86"/>
      <c r="AX7" s="86"/>
      <c r="AY7" s="86"/>
      <c r="AZ7" s="86"/>
      <c r="BA7" s="89"/>
      <c r="BB7" s="89"/>
      <c r="BC7" s="89"/>
      <c r="BD7" s="89"/>
      <c r="BE7" s="90" t="s">
        <v>214</v>
      </c>
      <c r="BF7" s="90" t="s">
        <v>214</v>
      </c>
      <c r="BG7" s="90" t="s">
        <v>214</v>
      </c>
      <c r="BH7" s="86"/>
      <c r="BI7" s="86"/>
      <c r="BJ7" s="86"/>
      <c r="BK7" s="91"/>
      <c r="BL7" s="90" t="s">
        <v>214</v>
      </c>
      <c r="BM7" s="91"/>
      <c r="BN7" s="86"/>
      <c r="BO7" s="86"/>
      <c r="BP7" s="86"/>
      <c r="BQ7" s="86"/>
      <c r="BR7" s="91"/>
      <c r="BS7" s="91"/>
      <c r="BT7" s="91"/>
    </row>
    <row r="8" s="1" customFormat="1" spans="1:72">
      <c r="B8" s="4" t="s">
        <v>6</v>
      </c>
      <c r="C8" s="4" t="s">
        <v>7</v>
      </c>
      <c r="D8" s="4" t="s">
        <v>215</v>
      </c>
      <c r="E8" s="4" t="s">
        <v>46</v>
      </c>
      <c r="F8" s="5">
        <v>44927</v>
      </c>
      <c r="G8" s="5">
        <v>44927</v>
      </c>
      <c r="H8" s="5" t="s">
        <v>206</v>
      </c>
      <c r="I8" s="6">
        <v>20800</v>
      </c>
      <c r="J8" s="6"/>
      <c r="K8" s="6"/>
      <c r="L8" s="6">
        <v>7963.75</v>
      </c>
      <c r="M8" s="6">
        <v>10333.33</v>
      </c>
      <c r="N8" s="6">
        <v>4191.45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0</v>
      </c>
      <c r="AF8" s="6"/>
      <c r="AG8" s="6"/>
      <c r="AH8" s="6">
        <v>3277.95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1295.4</v>
      </c>
      <c r="AU8" s="6">
        <f t="shared" ref="AU8:AU44" si="0">AJ8</f>
        <v>0</v>
      </c>
      <c r="AV8" s="6">
        <v>4761.95</v>
      </c>
      <c r="AW8" s="6"/>
      <c r="AX8" s="6"/>
      <c r="AY8" s="6"/>
      <c r="AZ8" s="6"/>
      <c r="BA8" s="6">
        <v>5325.58</v>
      </c>
      <c r="BB8" s="6">
        <v>2097.33</v>
      </c>
      <c r="BC8" s="6">
        <v>2394</v>
      </c>
      <c r="BD8" s="6">
        <v>2394</v>
      </c>
      <c r="BE8" s="6">
        <v>900</v>
      </c>
      <c r="BF8" s="6">
        <v>6364.8</v>
      </c>
      <c r="BG8" s="6">
        <v>902.24</v>
      </c>
      <c r="BH8" s="6"/>
      <c r="BI8" s="6"/>
      <c r="BJ8" s="6"/>
      <c r="BK8" s="6">
        <v>30000</v>
      </c>
      <c r="BL8" s="6">
        <v>24335.81</v>
      </c>
      <c r="BM8" s="6" t="s">
        <v>216</v>
      </c>
      <c r="BN8" s="6"/>
      <c r="BO8" s="6"/>
      <c r="BP8" s="6"/>
      <c r="BQ8" s="6"/>
      <c r="BR8" s="6" t="s">
        <v>217</v>
      </c>
      <c r="BS8" s="6">
        <v>13335.82</v>
      </c>
      <c r="BT8" s="6"/>
    </row>
    <row r="9" s="1" customFormat="1" spans="1:72">
      <c r="B9" s="4" t="s">
        <v>6</v>
      </c>
      <c r="C9" s="4" t="s">
        <v>7</v>
      </c>
      <c r="D9" s="4" t="s">
        <v>215</v>
      </c>
      <c r="E9" s="4" t="s">
        <v>46</v>
      </c>
      <c r="F9" s="5">
        <v>44958</v>
      </c>
      <c r="G9" s="5">
        <v>44958</v>
      </c>
      <c r="H9" s="5" t="s">
        <v>206</v>
      </c>
      <c r="I9" s="6">
        <v>20800</v>
      </c>
      <c r="J9" s="6"/>
      <c r="K9" s="6"/>
      <c r="L9" s="6">
        <v>7396.82</v>
      </c>
      <c r="M9" s="6">
        <v>9333.33</v>
      </c>
      <c r="N9" s="6">
        <v>3893.06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0</v>
      </c>
      <c r="AF9" s="6"/>
      <c r="AG9" s="6"/>
      <c r="AH9" s="6">
        <v>3193.19</v>
      </c>
      <c r="AI9" s="6">
        <v>45000</v>
      </c>
      <c r="AJ9" s="6">
        <v>4290</v>
      </c>
      <c r="AK9" s="6"/>
      <c r="AL9" s="6"/>
      <c r="AM9" s="6"/>
      <c r="AN9" s="6"/>
      <c r="AO9" s="6"/>
      <c r="AP9" s="6"/>
      <c r="AQ9" s="6"/>
      <c r="AR9" s="6"/>
      <c r="AS9" s="6"/>
      <c r="AT9" s="6">
        <v>2219.3</v>
      </c>
      <c r="AU9" s="6">
        <f t="shared" si="0"/>
        <v>4290</v>
      </c>
      <c r="AV9" s="6">
        <v>4761.95</v>
      </c>
      <c r="AW9" s="6"/>
      <c r="AX9" s="6"/>
      <c r="AY9" s="6"/>
      <c r="AZ9" s="6"/>
      <c r="BA9" s="6">
        <v>5325.58</v>
      </c>
      <c r="BB9" s="6">
        <v>2097.33</v>
      </c>
      <c r="BC9" s="6">
        <v>2394</v>
      </c>
      <c r="BD9" s="6">
        <v>2394</v>
      </c>
      <c r="BE9" s="6">
        <v>900</v>
      </c>
      <c r="BF9" s="6">
        <v>5791.16</v>
      </c>
      <c r="BG9" s="6">
        <v>812.39</v>
      </c>
      <c r="BH9" s="6"/>
      <c r="BI9" s="6"/>
      <c r="BJ9" s="6"/>
      <c r="BK9" s="6">
        <v>30000</v>
      </c>
      <c r="BL9" s="6">
        <v>24425.66</v>
      </c>
      <c r="BM9" s="6" t="s">
        <v>216</v>
      </c>
      <c r="BN9" s="6"/>
      <c r="BO9" s="6"/>
      <c r="BP9" s="6"/>
      <c r="BQ9" s="6"/>
      <c r="BR9" s="6" t="s">
        <v>217</v>
      </c>
      <c r="BS9" s="6">
        <v>9738.92</v>
      </c>
      <c r="BT9" s="6"/>
    </row>
    <row r="10" s="1" customFormat="1" spans="1:72">
      <c r="B10" s="4" t="s">
        <v>6</v>
      </c>
      <c r="C10" s="4" t="s">
        <v>7</v>
      </c>
      <c r="D10" s="4" t="s">
        <v>215</v>
      </c>
      <c r="E10" s="4" t="s">
        <v>46</v>
      </c>
      <c r="F10" s="5">
        <v>44986</v>
      </c>
      <c r="G10" s="5">
        <v>44986</v>
      </c>
      <c r="H10" s="5" t="s">
        <v>206</v>
      </c>
      <c r="I10" s="6">
        <v>20800</v>
      </c>
      <c r="J10" s="6"/>
      <c r="K10" s="6"/>
      <c r="L10" s="6">
        <v>8189.34</v>
      </c>
      <c r="M10" s="6">
        <v>10333.33</v>
      </c>
      <c r="N10" s="6">
        <v>4310.18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0</v>
      </c>
      <c r="AF10" s="6"/>
      <c r="AG10" s="6"/>
      <c r="AH10" s="6">
        <v>3414.15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2387.54</v>
      </c>
      <c r="AU10" s="6">
        <f t="shared" si="0"/>
        <v>0</v>
      </c>
      <c r="AV10" s="6">
        <v>4761.95</v>
      </c>
      <c r="AW10" s="6"/>
      <c r="AX10" s="6"/>
      <c r="AY10" s="6"/>
      <c r="AZ10" s="6"/>
      <c r="BA10" s="6">
        <v>5325.58</v>
      </c>
      <c r="BB10" s="6">
        <v>2097.33</v>
      </c>
      <c r="BC10" s="6">
        <v>2394</v>
      </c>
      <c r="BD10" s="6">
        <v>2394</v>
      </c>
      <c r="BE10" s="6">
        <v>900</v>
      </c>
      <c r="BF10" s="6">
        <v>6411.65</v>
      </c>
      <c r="BG10" s="6">
        <v>899.44</v>
      </c>
      <c r="BH10" s="6"/>
      <c r="BI10" s="6"/>
      <c r="BJ10" s="6"/>
      <c r="BK10" s="6">
        <v>30000</v>
      </c>
      <c r="BL10" s="6">
        <v>24338.61</v>
      </c>
      <c r="BM10" s="6" t="s">
        <v>216</v>
      </c>
      <c r="BN10" s="6"/>
      <c r="BO10" s="6"/>
      <c r="BP10" s="6"/>
      <c r="BQ10" s="6"/>
      <c r="BR10" s="6" t="s">
        <v>217</v>
      </c>
      <c r="BS10" s="6">
        <v>10266.1</v>
      </c>
      <c r="BT10" s="6"/>
    </row>
    <row r="11" s="1" customFormat="1" spans="1:72">
      <c r="B11" s="4" t="s">
        <v>6</v>
      </c>
      <c r="C11" s="4" t="s">
        <v>7</v>
      </c>
      <c r="D11" s="4" t="s">
        <v>215</v>
      </c>
      <c r="E11" s="4" t="s">
        <v>46</v>
      </c>
      <c r="F11" s="5">
        <v>45017</v>
      </c>
      <c r="G11" s="5">
        <v>45017</v>
      </c>
      <c r="H11" s="5" t="s">
        <v>206</v>
      </c>
      <c r="I11" s="6">
        <v>22464</v>
      </c>
      <c r="J11" s="6"/>
      <c r="K11" s="6"/>
      <c r="L11" s="6">
        <v>7833.74</v>
      </c>
      <c r="M11" s="6">
        <v>12000</v>
      </c>
      <c r="N11" s="6">
        <v>4123.02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0</v>
      </c>
      <c r="AF11" s="6"/>
      <c r="AG11" s="6"/>
      <c r="AH11" s="6">
        <v>6427.55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>
        <v>2362.06</v>
      </c>
      <c r="AU11" s="6">
        <f t="shared" si="0"/>
        <v>0</v>
      </c>
      <c r="AV11" s="6">
        <v>4761.95</v>
      </c>
      <c r="AW11" s="6"/>
      <c r="AX11" s="6"/>
      <c r="AY11" s="6"/>
      <c r="AZ11" s="6"/>
      <c r="BA11" s="6">
        <v>5325.58</v>
      </c>
      <c r="BB11" s="6">
        <v>2097.33</v>
      </c>
      <c r="BC11" s="6">
        <v>2394</v>
      </c>
      <c r="BD11" s="6">
        <v>2394</v>
      </c>
      <c r="BE11" s="6">
        <v>900</v>
      </c>
      <c r="BF11" s="6">
        <v>6204.84</v>
      </c>
      <c r="BG11" s="6">
        <v>870.41</v>
      </c>
      <c r="BH11" s="6"/>
      <c r="BI11" s="6"/>
      <c r="BJ11" s="6"/>
      <c r="BK11" s="6">
        <v>30000</v>
      </c>
      <c r="BL11" s="6">
        <v>24367.64</v>
      </c>
      <c r="BM11" s="6" t="s">
        <v>216</v>
      </c>
      <c r="BN11" s="6"/>
      <c r="BO11" s="6"/>
      <c r="BP11" s="6"/>
      <c r="BQ11" s="6"/>
      <c r="BR11" s="6" t="s">
        <v>217</v>
      </c>
      <c r="BS11" s="6">
        <v>13308.81</v>
      </c>
      <c r="BT11" s="6"/>
    </row>
    <row r="12" s="1" customFormat="1" spans="1:72">
      <c r="B12" s="4" t="s">
        <v>6</v>
      </c>
      <c r="C12" s="4" t="s">
        <v>7</v>
      </c>
      <c r="D12" s="4" t="s">
        <v>215</v>
      </c>
      <c r="E12" s="4" t="s">
        <v>46</v>
      </c>
      <c r="F12" s="5">
        <v>45047</v>
      </c>
      <c r="G12" s="5">
        <v>45047</v>
      </c>
      <c r="H12" s="5" t="s">
        <v>206</v>
      </c>
      <c r="I12" s="6">
        <v>22464</v>
      </c>
      <c r="J12" s="6"/>
      <c r="K12" s="6"/>
      <c r="L12" s="6">
        <v>8156.47</v>
      </c>
      <c r="M12" s="6">
        <v>12400</v>
      </c>
      <c r="N12" s="6">
        <v>4292.88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0</v>
      </c>
      <c r="AF12" s="6"/>
      <c r="AG12" s="6"/>
      <c r="AH12" s="6">
        <v>7739.32</v>
      </c>
      <c r="AI12" s="6"/>
      <c r="AJ12" s="6"/>
      <c r="AK12" s="6"/>
      <c r="AL12" s="6"/>
      <c r="AM12" s="6"/>
      <c r="AN12" s="6"/>
      <c r="AO12" s="6"/>
      <c r="AP12" s="6">
        <v>874.6</v>
      </c>
      <c r="AQ12" s="6"/>
      <c r="AR12" s="6"/>
      <c r="AS12" s="6"/>
      <c r="AT12" s="6">
        <v>2400.56</v>
      </c>
      <c r="AU12" s="6">
        <f t="shared" si="0"/>
        <v>0</v>
      </c>
      <c r="AV12" s="6">
        <v>4761.95</v>
      </c>
      <c r="AW12" s="6"/>
      <c r="AX12" s="6"/>
      <c r="AY12" s="6"/>
      <c r="AZ12" s="6"/>
      <c r="BA12" s="6">
        <v>5325.58</v>
      </c>
      <c r="BB12" s="6">
        <v>2097.33</v>
      </c>
      <c r="BC12" s="6">
        <v>2394</v>
      </c>
      <c r="BD12" s="6">
        <v>2394</v>
      </c>
      <c r="BE12" s="6">
        <v>900</v>
      </c>
      <c r="BF12" s="6">
        <v>6411.65</v>
      </c>
      <c r="BG12" s="6">
        <v>899.44</v>
      </c>
      <c r="BH12" s="6"/>
      <c r="BI12" s="6"/>
      <c r="BJ12" s="6"/>
      <c r="BK12" s="6">
        <v>30000</v>
      </c>
      <c r="BL12" s="6">
        <v>24338.61</v>
      </c>
      <c r="BM12" s="6" t="s">
        <v>216</v>
      </c>
      <c r="BN12" s="6"/>
      <c r="BO12" s="6"/>
      <c r="BP12" s="6"/>
      <c r="BQ12" s="6"/>
      <c r="BR12" s="6" t="s">
        <v>217</v>
      </c>
      <c r="BS12" s="6">
        <v>14691.06</v>
      </c>
      <c r="BT12" s="6"/>
    </row>
    <row r="13" s="1" customFormat="1" spans="1:72">
      <c r="B13" s="4" t="s">
        <v>6</v>
      </c>
      <c r="C13" s="4" t="s">
        <v>7</v>
      </c>
      <c r="D13" s="4" t="s">
        <v>215</v>
      </c>
      <c r="E13" s="4" t="s">
        <v>46</v>
      </c>
      <c r="F13" s="5">
        <v>45078</v>
      </c>
      <c r="G13" s="5">
        <v>45078</v>
      </c>
      <c r="H13" s="5" t="s">
        <v>206</v>
      </c>
      <c r="I13" s="6">
        <v>22464</v>
      </c>
      <c r="J13" s="6"/>
      <c r="K13" s="6"/>
      <c r="L13" s="6">
        <v>8073.59</v>
      </c>
      <c r="M13" s="6">
        <v>12000</v>
      </c>
      <c r="N13" s="6">
        <v>4249.26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>
        <v>0</v>
      </c>
      <c r="AF13" s="6"/>
      <c r="AG13" s="6"/>
      <c r="AH13" s="6">
        <v>7459.11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4448.29</v>
      </c>
      <c r="AU13" s="6">
        <f t="shared" si="0"/>
        <v>0</v>
      </c>
      <c r="AV13" s="6">
        <v>4761.95</v>
      </c>
      <c r="AW13" s="6"/>
      <c r="AX13" s="6"/>
      <c r="AY13" s="6"/>
      <c r="AZ13" s="6"/>
      <c r="BA13" s="6">
        <v>5325.58</v>
      </c>
      <c r="BB13" s="6">
        <v>2097.33</v>
      </c>
      <c r="BC13" s="6">
        <v>2394</v>
      </c>
      <c r="BD13" s="6">
        <v>2394</v>
      </c>
      <c r="BE13" s="6">
        <v>900</v>
      </c>
      <c r="BF13" s="6">
        <v>6204.84</v>
      </c>
      <c r="BG13" s="6">
        <v>870.41</v>
      </c>
      <c r="BH13" s="6"/>
      <c r="BI13" s="6"/>
      <c r="BJ13" s="6"/>
      <c r="BK13" s="6">
        <v>30000</v>
      </c>
      <c r="BL13" s="6">
        <v>24367.64</v>
      </c>
      <c r="BM13" s="6" t="s">
        <v>216</v>
      </c>
      <c r="BN13" s="6"/>
      <c r="BO13" s="6"/>
      <c r="BP13" s="6"/>
      <c r="BQ13" s="6"/>
      <c r="BR13" s="6" t="s">
        <v>217</v>
      </c>
      <c r="BS13" s="6">
        <v>12769.63</v>
      </c>
      <c r="BT13" s="6"/>
    </row>
    <row r="14" s="1" customFormat="1" spans="1:72">
      <c r="B14" s="4" t="s">
        <v>6</v>
      </c>
      <c r="C14" s="4" t="s">
        <v>7</v>
      </c>
      <c r="D14" s="4" t="s">
        <v>215</v>
      </c>
      <c r="E14" s="4" t="s">
        <v>46</v>
      </c>
      <c r="F14" s="5">
        <v>45108</v>
      </c>
      <c r="G14" s="5">
        <v>45108</v>
      </c>
      <c r="H14" s="5" t="s">
        <v>206</v>
      </c>
      <c r="I14" s="6">
        <v>22464</v>
      </c>
      <c r="J14" s="6">
        <v>10</v>
      </c>
      <c r="K14" s="6">
        <v>20</v>
      </c>
      <c r="L14" s="6">
        <v>7857.81</v>
      </c>
      <c r="M14" s="6">
        <v>11600</v>
      </c>
      <c r="N14" s="6">
        <v>4135.69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0</v>
      </c>
      <c r="AF14" s="6"/>
      <c r="AG14" s="6"/>
      <c r="AH14" s="6">
        <v>6739.99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4159.76</v>
      </c>
      <c r="AU14" s="6">
        <f t="shared" si="0"/>
        <v>0</v>
      </c>
      <c r="AV14" s="6">
        <v>4761.95</v>
      </c>
      <c r="AW14" s="6"/>
      <c r="AX14" s="6"/>
      <c r="AY14" s="6"/>
      <c r="AZ14" s="6"/>
      <c r="BA14" s="6">
        <v>9116.69</v>
      </c>
      <c r="BB14" s="6">
        <v>3561.56</v>
      </c>
      <c r="BC14" s="6">
        <v>3826</v>
      </c>
      <c r="BD14" s="6">
        <v>3826</v>
      </c>
      <c r="BE14" s="6">
        <v>900</v>
      </c>
      <c r="BF14" s="6">
        <v>6411.65</v>
      </c>
      <c r="BG14" s="6">
        <v>899.44</v>
      </c>
      <c r="BH14" s="6"/>
      <c r="BI14" s="6"/>
      <c r="BJ14" s="6"/>
      <c r="BK14" s="6">
        <v>30000</v>
      </c>
      <c r="BL14" s="6">
        <v>24338.61</v>
      </c>
      <c r="BM14" s="6" t="s">
        <v>216</v>
      </c>
      <c r="BN14" s="6"/>
      <c r="BO14" s="6"/>
      <c r="BP14" s="6"/>
      <c r="BQ14" s="6"/>
      <c r="BR14" s="6" t="s">
        <v>217</v>
      </c>
      <c r="BS14" s="6">
        <v>12901.14</v>
      </c>
      <c r="BT14" s="6"/>
    </row>
    <row r="15" s="1" customFormat="1" spans="1:72">
      <c r="B15" s="4" t="s">
        <v>6</v>
      </c>
      <c r="C15" s="4" t="s">
        <v>7</v>
      </c>
      <c r="D15" s="4" t="s">
        <v>215</v>
      </c>
      <c r="E15" s="4" t="s">
        <v>46</v>
      </c>
      <c r="F15" s="5">
        <v>45139</v>
      </c>
      <c r="G15" s="5">
        <v>45139</v>
      </c>
      <c r="H15" s="5" t="s">
        <v>206</v>
      </c>
      <c r="I15" s="6">
        <v>22464</v>
      </c>
      <c r="J15" s="6">
        <v>40</v>
      </c>
      <c r="K15" s="6">
        <v>80</v>
      </c>
      <c r="L15" s="6">
        <v>7044.93</v>
      </c>
      <c r="M15" s="6">
        <v>10400</v>
      </c>
      <c r="N15" s="6">
        <v>3707.86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0</v>
      </c>
      <c r="AF15" s="6"/>
      <c r="AG15" s="6"/>
      <c r="AH15" s="6">
        <v>6768.71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3415.41</v>
      </c>
      <c r="AU15" s="6">
        <f t="shared" si="0"/>
        <v>0</v>
      </c>
      <c r="AV15" s="6">
        <v>4761.95</v>
      </c>
      <c r="AW15" s="6"/>
      <c r="AX15" s="6"/>
      <c r="AY15" s="6"/>
      <c r="AZ15" s="6"/>
      <c r="BA15" s="6">
        <v>9116.69</v>
      </c>
      <c r="BB15" s="6">
        <v>3561.56</v>
      </c>
      <c r="BC15" s="6">
        <v>4308</v>
      </c>
      <c r="BD15" s="6">
        <v>4308</v>
      </c>
      <c r="BE15" s="6">
        <v>900</v>
      </c>
      <c r="BF15" s="6">
        <v>6411.65</v>
      </c>
      <c r="BG15" s="6">
        <v>899.44</v>
      </c>
      <c r="BH15" s="6"/>
      <c r="BI15" s="6"/>
      <c r="BJ15" s="6"/>
      <c r="BK15" s="6">
        <v>30000</v>
      </c>
      <c r="BL15" s="6">
        <v>24338.61</v>
      </c>
      <c r="BM15" s="6" t="s">
        <v>216</v>
      </c>
      <c r="BN15" s="6"/>
      <c r="BO15" s="6"/>
      <c r="BP15" s="6"/>
      <c r="BQ15" s="6"/>
      <c r="BR15" s="6" t="s">
        <v>217</v>
      </c>
      <c r="BS15" s="6">
        <v>13790.18</v>
      </c>
      <c r="BT15" s="6"/>
    </row>
    <row r="16" s="1" customFormat="1" spans="1:72">
      <c r="B16" s="4" t="s">
        <v>6</v>
      </c>
      <c r="C16" s="4" t="s">
        <v>7</v>
      </c>
      <c r="D16" s="4" t="s">
        <v>215</v>
      </c>
      <c r="E16" s="4" t="s">
        <v>46</v>
      </c>
      <c r="F16" s="5">
        <v>45170</v>
      </c>
      <c r="G16" s="5">
        <v>45170</v>
      </c>
      <c r="H16" s="5" t="s">
        <v>206</v>
      </c>
      <c r="I16" s="6">
        <v>22464</v>
      </c>
      <c r="J16" s="6">
        <v>40</v>
      </c>
      <c r="K16" s="6">
        <v>80</v>
      </c>
      <c r="L16" s="6">
        <v>6549.16</v>
      </c>
      <c r="M16" s="6">
        <v>9600</v>
      </c>
      <c r="N16" s="6">
        <v>3446.93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0</v>
      </c>
      <c r="AF16" s="6"/>
      <c r="AG16" s="6"/>
      <c r="AH16" s="6">
        <v>7387.88</v>
      </c>
      <c r="AI16" s="6"/>
      <c r="AJ16" s="6"/>
      <c r="AK16" s="6">
        <v>27623</v>
      </c>
      <c r="AL16" s="6" t="s">
        <v>218</v>
      </c>
      <c r="AM16" s="6"/>
      <c r="AN16" s="6"/>
      <c r="AO16" s="6"/>
      <c r="AP16" s="6"/>
      <c r="AQ16" s="6"/>
      <c r="AR16" s="6"/>
      <c r="AS16" s="6"/>
      <c r="AT16" s="6">
        <v>2915.87</v>
      </c>
      <c r="AU16" s="6">
        <f t="shared" si="0"/>
        <v>0</v>
      </c>
      <c r="AV16" s="6">
        <v>4761.95</v>
      </c>
      <c r="AW16" s="6"/>
      <c r="AX16" s="6"/>
      <c r="AY16" s="6"/>
      <c r="AZ16" s="6"/>
      <c r="BA16" s="6">
        <v>9116.69</v>
      </c>
      <c r="BB16" s="6">
        <v>3561.56</v>
      </c>
      <c r="BC16" s="6">
        <v>4067</v>
      </c>
      <c r="BD16" s="6">
        <v>4067</v>
      </c>
      <c r="BE16" s="6">
        <v>990</v>
      </c>
      <c r="BF16" s="6">
        <v>6204.84</v>
      </c>
      <c r="BG16" s="6">
        <v>870.41</v>
      </c>
      <c r="BH16" s="6"/>
      <c r="BI16" s="6"/>
      <c r="BJ16" s="6"/>
      <c r="BK16" s="6">
        <v>33000</v>
      </c>
      <c r="BL16" s="6">
        <v>27367.64</v>
      </c>
      <c r="BM16" s="6" t="s">
        <v>216</v>
      </c>
      <c r="BN16" s="6"/>
      <c r="BO16" s="6"/>
      <c r="BP16" s="6"/>
      <c r="BQ16" s="6"/>
      <c r="BR16" s="6" t="s">
        <v>217</v>
      </c>
      <c r="BS16" s="6">
        <v>14972.17</v>
      </c>
      <c r="BT16" s="6"/>
    </row>
    <row r="17" s="1" customFormat="1" spans="2:72">
      <c r="B17" s="4" t="s">
        <v>6</v>
      </c>
      <c r="C17" s="4" t="s">
        <v>7</v>
      </c>
      <c r="D17" s="4" t="s">
        <v>215</v>
      </c>
      <c r="E17" s="4" t="s">
        <v>46</v>
      </c>
      <c r="F17" s="5">
        <v>45200</v>
      </c>
      <c r="G17" s="5">
        <v>45200</v>
      </c>
      <c r="H17" s="5" t="s">
        <v>206</v>
      </c>
      <c r="I17" s="6">
        <v>22464</v>
      </c>
      <c r="J17" s="6">
        <v>70</v>
      </c>
      <c r="K17" s="6">
        <v>140</v>
      </c>
      <c r="L17" s="6">
        <v>4910.98</v>
      </c>
      <c r="M17" s="6">
        <v>7200</v>
      </c>
      <c r="N17" s="6">
        <v>2584.73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0</v>
      </c>
      <c r="AF17" s="6"/>
      <c r="AG17" s="6"/>
      <c r="AH17" s="6">
        <v>6185.29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1863.82</v>
      </c>
      <c r="AU17" s="6">
        <f t="shared" si="0"/>
        <v>0</v>
      </c>
      <c r="AV17" s="6">
        <v>4761.95</v>
      </c>
      <c r="AW17" s="6"/>
      <c r="AX17" s="6"/>
      <c r="AY17" s="6"/>
      <c r="AZ17" s="6"/>
      <c r="BA17" s="6">
        <v>9116.69</v>
      </c>
      <c r="BB17" s="6">
        <v>3561.56</v>
      </c>
      <c r="BC17" s="6">
        <v>4067</v>
      </c>
      <c r="BD17" s="6">
        <v>4067</v>
      </c>
      <c r="BE17" s="6">
        <v>900</v>
      </c>
      <c r="BF17" s="6">
        <v>6411.65</v>
      </c>
      <c r="BG17" s="6">
        <v>899.44</v>
      </c>
      <c r="BH17" s="6"/>
      <c r="BI17" s="6"/>
      <c r="BJ17" s="6"/>
      <c r="BK17" s="6">
        <v>30000</v>
      </c>
      <c r="BL17" s="6">
        <v>24338.61</v>
      </c>
      <c r="BM17" s="6" t="s">
        <v>216</v>
      </c>
      <c r="BN17" s="6"/>
      <c r="BO17" s="6"/>
      <c r="BP17" s="6"/>
      <c r="BQ17" s="6"/>
      <c r="BR17" s="6" t="s">
        <v>217</v>
      </c>
      <c r="BS17" s="6">
        <v>15422.06</v>
      </c>
      <c r="BT17" s="6"/>
    </row>
    <row r="18" s="1" customFormat="1" spans="2:72">
      <c r="B18" s="4" t="s">
        <v>6</v>
      </c>
      <c r="C18" s="4" t="s">
        <v>7</v>
      </c>
      <c r="D18" s="4" t="s">
        <v>215</v>
      </c>
      <c r="E18" s="4" t="s">
        <v>46</v>
      </c>
      <c r="F18" s="5">
        <v>45231</v>
      </c>
      <c r="G18" s="5">
        <v>45231</v>
      </c>
      <c r="H18" s="5" t="s">
        <v>206</v>
      </c>
      <c r="I18" s="6">
        <v>22464</v>
      </c>
      <c r="J18" s="6"/>
      <c r="K18" s="6"/>
      <c r="L18" s="6">
        <v>8182.81</v>
      </c>
      <c r="M18" s="6">
        <v>12000</v>
      </c>
      <c r="N18" s="6">
        <v>4306.74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0</v>
      </c>
      <c r="AF18" s="6"/>
      <c r="AG18" s="6"/>
      <c r="AH18" s="6">
        <v>8581.25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4021</v>
      </c>
      <c r="AU18" s="6">
        <f t="shared" si="0"/>
        <v>0</v>
      </c>
      <c r="AV18" s="6">
        <v>4761.95</v>
      </c>
      <c r="AW18" s="6"/>
      <c r="AX18" s="6"/>
      <c r="AY18" s="6"/>
      <c r="AZ18" s="6"/>
      <c r="BA18" s="6">
        <v>9116.69</v>
      </c>
      <c r="BB18" s="6">
        <v>3561.56</v>
      </c>
      <c r="BC18" s="6">
        <v>4067</v>
      </c>
      <c r="BD18" s="6">
        <v>4067</v>
      </c>
      <c r="BE18" s="6">
        <v>900</v>
      </c>
      <c r="BF18" s="6">
        <v>6204.84</v>
      </c>
      <c r="BG18" s="6">
        <v>870.41</v>
      </c>
      <c r="BH18" s="6"/>
      <c r="BI18" s="6"/>
      <c r="BJ18" s="6"/>
      <c r="BK18" s="6">
        <v>30000</v>
      </c>
      <c r="BL18" s="6">
        <v>24367.64</v>
      </c>
      <c r="BM18" s="6" t="s">
        <v>216</v>
      </c>
      <c r="BN18" s="6"/>
      <c r="BO18" s="6"/>
      <c r="BP18" s="6"/>
      <c r="BQ18" s="6"/>
      <c r="BR18" s="6" t="s">
        <v>217</v>
      </c>
      <c r="BS18" s="6">
        <v>14220</v>
      </c>
      <c r="BT18" s="6"/>
    </row>
    <row r="19" s="1" customFormat="1" spans="2:72">
      <c r="B19" s="4" t="s">
        <v>6</v>
      </c>
      <c r="C19" s="4" t="s">
        <v>7</v>
      </c>
      <c r="D19" s="4" t="s">
        <v>215</v>
      </c>
      <c r="E19" s="4" t="s">
        <v>46</v>
      </c>
      <c r="F19" s="5">
        <v>45261</v>
      </c>
      <c r="G19" s="5">
        <v>45261</v>
      </c>
      <c r="H19" s="5" t="s">
        <v>206</v>
      </c>
      <c r="I19" s="6">
        <v>22464</v>
      </c>
      <c r="J19" s="6"/>
      <c r="K19" s="6"/>
      <c r="L19" s="6">
        <v>8365.92</v>
      </c>
      <c r="M19" s="6">
        <v>12400</v>
      </c>
      <c r="N19" s="6">
        <v>4403.12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0</v>
      </c>
      <c r="AF19" s="6"/>
      <c r="AG19" s="6"/>
      <c r="AH19" s="6">
        <v>1050.13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740.44</v>
      </c>
      <c r="AU19" s="6">
        <f t="shared" si="0"/>
        <v>0</v>
      </c>
      <c r="AV19" s="6">
        <v>4761.95</v>
      </c>
      <c r="AW19" s="6"/>
      <c r="AX19" s="6"/>
      <c r="AY19" s="6"/>
      <c r="AZ19" s="6"/>
      <c r="BA19" s="6">
        <v>9116.69</v>
      </c>
      <c r="BB19" s="6">
        <v>3561.56</v>
      </c>
      <c r="BC19" s="6">
        <v>4067</v>
      </c>
      <c r="BD19" s="6">
        <v>4067</v>
      </c>
      <c r="BE19" s="6">
        <v>900</v>
      </c>
      <c r="BF19" s="6">
        <v>6411.65</v>
      </c>
      <c r="BG19" s="6">
        <v>899.44</v>
      </c>
      <c r="BH19" s="6"/>
      <c r="BI19" s="6"/>
      <c r="BJ19" s="6"/>
      <c r="BK19" s="6">
        <v>30000</v>
      </c>
      <c r="BL19" s="6">
        <v>24338.61</v>
      </c>
      <c r="BM19" s="6" t="s">
        <v>216</v>
      </c>
      <c r="BN19" s="6"/>
      <c r="BO19" s="6"/>
      <c r="BP19" s="6"/>
      <c r="BQ19" s="6"/>
      <c r="BR19" s="6" t="s">
        <v>217</v>
      </c>
      <c r="BS19" s="6">
        <v>10323.08</v>
      </c>
      <c r="BT19" s="6"/>
    </row>
    <row r="20" s="1" customFormat="1" ht="16" spans="2:72">
      <c r="B20" s="4" t="s">
        <v>6</v>
      </c>
      <c r="C20" s="4" t="s">
        <v>7</v>
      </c>
      <c r="D20" s="4" t="s">
        <v>215</v>
      </c>
      <c r="E20" s="4" t="s">
        <v>46</v>
      </c>
      <c r="F20" s="92" t="s">
        <v>219</v>
      </c>
      <c r="G20" s="93">
        <v>45291</v>
      </c>
      <c r="H20" s="5" t="s">
        <v>206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f t="shared" si="0"/>
        <v>0</v>
      </c>
      <c r="AV20" s="6">
        <v>6003.34</v>
      </c>
      <c r="AW20" s="6"/>
      <c r="AX20" s="6"/>
      <c r="AY20" s="6"/>
      <c r="AZ20" s="6"/>
      <c r="BA20" s="6"/>
      <c r="BB20" s="6"/>
      <c r="BC20" s="6"/>
      <c r="BD20" s="6"/>
      <c r="BE20" s="6">
        <v>900</v>
      </c>
      <c r="BF20" s="6"/>
      <c r="BG20" s="6"/>
      <c r="BH20" s="6"/>
      <c r="BI20" s="6"/>
      <c r="BJ20" s="6"/>
      <c r="BK20" s="6">
        <v>30000</v>
      </c>
      <c r="BL20" s="6">
        <v>23996.66</v>
      </c>
      <c r="BM20" s="6" t="s">
        <v>216</v>
      </c>
      <c r="BN20" s="6"/>
      <c r="BO20" s="6"/>
      <c r="BP20" s="6"/>
      <c r="BQ20" s="6"/>
      <c r="BR20" s="6"/>
      <c r="BS20" s="6"/>
      <c r="BT20" s="94" t="s">
        <v>220</v>
      </c>
    </row>
    <row r="21" s="1" customFormat="1" spans="2:72">
      <c r="B21" s="4" t="s">
        <v>12</v>
      </c>
      <c r="C21" s="4" t="s">
        <v>13</v>
      </c>
      <c r="D21" s="4" t="s">
        <v>221</v>
      </c>
      <c r="E21" s="4" t="s">
        <v>47</v>
      </c>
      <c r="F21" s="5">
        <v>44927</v>
      </c>
      <c r="G21" s="5">
        <v>44927</v>
      </c>
      <c r="H21" s="5" t="s">
        <v>206</v>
      </c>
      <c r="I21" s="6">
        <v>19500</v>
      </c>
      <c r="J21" s="6"/>
      <c r="K21" s="6"/>
      <c r="L21" s="6">
        <v>7963.75</v>
      </c>
      <c r="M21" s="6">
        <v>12400</v>
      </c>
      <c r="N21" s="6">
        <v>4191.45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0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7306.56</v>
      </c>
      <c r="AU21" s="6">
        <f t="shared" si="0"/>
        <v>0</v>
      </c>
      <c r="AV21" s="6">
        <v>4761.95</v>
      </c>
      <c r="AW21" s="6"/>
      <c r="AX21" s="6"/>
      <c r="AY21" s="6"/>
      <c r="AZ21" s="6"/>
      <c r="BA21" s="6">
        <v>5671.99</v>
      </c>
      <c r="BB21" s="6">
        <v>2633.9</v>
      </c>
      <c r="BC21" s="6">
        <v>4329</v>
      </c>
      <c r="BD21" s="6">
        <v>4329</v>
      </c>
      <c r="BE21" s="6">
        <v>900</v>
      </c>
      <c r="BF21" s="6">
        <v>6371.93</v>
      </c>
      <c r="BG21" s="6">
        <v>903.41</v>
      </c>
      <c r="BH21" s="6"/>
      <c r="BI21" s="6"/>
      <c r="BJ21" s="6"/>
      <c r="BK21" s="6">
        <v>30000</v>
      </c>
      <c r="BL21" s="6">
        <v>24334.64</v>
      </c>
      <c r="BM21" s="6" t="s">
        <v>216</v>
      </c>
      <c r="BN21" s="6"/>
      <c r="BO21" s="6"/>
      <c r="BP21" s="6"/>
      <c r="BQ21" s="6"/>
      <c r="BR21" s="6" t="s">
        <v>222</v>
      </c>
      <c r="BS21" s="6">
        <v>17598.24</v>
      </c>
      <c r="BT21" s="6"/>
    </row>
    <row r="22" s="1" customFormat="1" spans="2:72">
      <c r="B22" s="4" t="s">
        <v>12</v>
      </c>
      <c r="C22" s="4" t="s">
        <v>13</v>
      </c>
      <c r="D22" s="4" t="s">
        <v>221</v>
      </c>
      <c r="E22" s="4" t="s">
        <v>47</v>
      </c>
      <c r="F22" s="5">
        <v>44958</v>
      </c>
      <c r="G22" s="5">
        <v>44958</v>
      </c>
      <c r="H22" s="5" t="s">
        <v>206</v>
      </c>
      <c r="I22" s="6">
        <v>19500</v>
      </c>
      <c r="J22" s="6"/>
      <c r="K22" s="6"/>
      <c r="L22" s="6">
        <v>7396.82</v>
      </c>
      <c r="M22" s="6">
        <v>11200</v>
      </c>
      <c r="N22" s="6">
        <v>3893.06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0</v>
      </c>
      <c r="AF22" s="6"/>
      <c r="AG22" s="6"/>
      <c r="AH22" s="6"/>
      <c r="AI22" s="6">
        <v>58000</v>
      </c>
      <c r="AJ22" s="6">
        <v>4540</v>
      </c>
      <c r="AK22" s="6"/>
      <c r="AL22" s="6"/>
      <c r="AM22" s="6"/>
      <c r="AN22" s="6"/>
      <c r="AO22" s="6"/>
      <c r="AP22" s="6"/>
      <c r="AQ22" s="6"/>
      <c r="AR22" s="6"/>
      <c r="AS22" s="6"/>
      <c r="AT22" s="6">
        <v>6686.96</v>
      </c>
      <c r="AU22" s="6">
        <f t="shared" si="0"/>
        <v>4540</v>
      </c>
      <c r="AV22" s="6">
        <v>4761.95</v>
      </c>
      <c r="AW22" s="6"/>
      <c r="AX22" s="6"/>
      <c r="AY22" s="6"/>
      <c r="AZ22" s="6"/>
      <c r="BA22" s="6">
        <v>5671.99</v>
      </c>
      <c r="BB22" s="6">
        <v>2633.9</v>
      </c>
      <c r="BC22" s="6">
        <v>4329</v>
      </c>
      <c r="BD22" s="6">
        <v>4329</v>
      </c>
      <c r="BE22" s="6">
        <v>900</v>
      </c>
      <c r="BF22" s="6">
        <v>5797.82</v>
      </c>
      <c r="BG22" s="6">
        <v>813.45</v>
      </c>
      <c r="BH22" s="6"/>
      <c r="BI22" s="6"/>
      <c r="BJ22" s="6"/>
      <c r="BK22" s="6">
        <v>30000</v>
      </c>
      <c r="BL22" s="6">
        <v>24424.6</v>
      </c>
      <c r="BM22" s="6" t="s">
        <v>216</v>
      </c>
      <c r="BN22" s="6"/>
      <c r="BO22" s="6"/>
      <c r="BP22" s="6"/>
      <c r="BQ22" s="6"/>
      <c r="BR22" s="6" t="s">
        <v>222</v>
      </c>
      <c r="BS22" s="6">
        <v>8764.61</v>
      </c>
      <c r="BT22" s="6"/>
    </row>
    <row r="23" s="1" customFormat="1" ht="28.5" customHeight="1" spans="2:72">
      <c r="B23" s="4" t="s">
        <v>12</v>
      </c>
      <c r="C23" s="4" t="s">
        <v>13</v>
      </c>
      <c r="D23" s="4" t="s">
        <v>221</v>
      </c>
      <c r="E23" s="4" t="s">
        <v>47</v>
      </c>
      <c r="F23" s="5">
        <v>44986</v>
      </c>
      <c r="G23" s="5">
        <v>44986</v>
      </c>
      <c r="H23" s="5" t="s">
        <v>206</v>
      </c>
      <c r="I23" s="6">
        <v>19500</v>
      </c>
      <c r="J23" s="6"/>
      <c r="K23" s="6"/>
      <c r="L23" s="6">
        <v>8189.34</v>
      </c>
      <c r="M23" s="6">
        <v>12400</v>
      </c>
      <c r="N23" s="6">
        <v>4310.18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0</v>
      </c>
      <c r="AF23" s="6"/>
      <c r="AG23" s="6"/>
      <c r="AH23" s="6"/>
      <c r="AI23" s="6"/>
      <c r="AJ23" s="6"/>
      <c r="AK23" s="6">
        <v>22032.56</v>
      </c>
      <c r="AL23" s="7" t="s">
        <v>223</v>
      </c>
      <c r="AM23" s="6"/>
      <c r="AN23" s="6"/>
      <c r="AO23" s="6"/>
      <c r="AP23" s="6"/>
      <c r="AQ23" s="6"/>
      <c r="AR23" s="6"/>
      <c r="AS23" s="6"/>
      <c r="AT23" s="6">
        <v>7409.86</v>
      </c>
      <c r="AU23" s="6">
        <f t="shared" si="0"/>
        <v>0</v>
      </c>
      <c r="AV23" s="6">
        <v>3907.55</v>
      </c>
      <c r="AW23" s="6"/>
      <c r="AX23" s="6"/>
      <c r="AY23" s="6"/>
      <c r="AZ23" s="6"/>
      <c r="BA23" s="6">
        <v>5671.99</v>
      </c>
      <c r="BB23" s="6">
        <v>2633.9</v>
      </c>
      <c r="BC23" s="6">
        <v>4329</v>
      </c>
      <c r="BD23" s="6">
        <v>4329</v>
      </c>
      <c r="BE23" s="6">
        <v>780</v>
      </c>
      <c r="BF23" s="6">
        <v>6419.01</v>
      </c>
      <c r="BG23" s="6">
        <v>900.61</v>
      </c>
      <c r="BH23" s="6"/>
      <c r="BI23" s="6"/>
      <c r="BJ23" s="6"/>
      <c r="BK23" s="6">
        <v>26000</v>
      </c>
      <c r="BL23" s="6">
        <v>21191.84</v>
      </c>
      <c r="BM23" s="6" t="s">
        <v>216</v>
      </c>
      <c r="BN23" s="6"/>
      <c r="BO23" s="6"/>
      <c r="BP23" s="6"/>
      <c r="BQ23" s="6"/>
      <c r="BR23" s="6" t="s">
        <v>222</v>
      </c>
      <c r="BS23" s="6">
        <v>9239.09</v>
      </c>
      <c r="BT23" s="6"/>
    </row>
    <row r="24" s="1" customFormat="1" spans="2:72">
      <c r="B24" s="4" t="s">
        <v>12</v>
      </c>
      <c r="C24" s="4" t="s">
        <v>13</v>
      </c>
      <c r="D24" s="4" t="s">
        <v>221</v>
      </c>
      <c r="E24" s="4" t="s">
        <v>47</v>
      </c>
      <c r="F24" s="5">
        <v>45017</v>
      </c>
      <c r="G24" s="5">
        <v>45017</v>
      </c>
      <c r="H24" s="5" t="s">
        <v>206</v>
      </c>
      <c r="I24" s="6">
        <v>19500</v>
      </c>
      <c r="J24" s="6"/>
      <c r="K24" s="6"/>
      <c r="L24" s="6">
        <v>7833.74</v>
      </c>
      <c r="M24" s="6">
        <v>12000</v>
      </c>
      <c r="N24" s="6">
        <v>4123.02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7127.03</v>
      </c>
      <c r="AU24" s="6">
        <f t="shared" si="0"/>
        <v>0</v>
      </c>
      <c r="AV24" s="6">
        <v>4761.95</v>
      </c>
      <c r="AW24" s="6"/>
      <c r="AX24" s="6"/>
      <c r="AY24" s="6"/>
      <c r="AZ24" s="6"/>
      <c r="BA24" s="6">
        <v>5671.99</v>
      </c>
      <c r="BB24" s="6">
        <v>2633.9</v>
      </c>
      <c r="BC24" s="6">
        <v>4329</v>
      </c>
      <c r="BD24" s="6">
        <v>4329</v>
      </c>
      <c r="BE24" s="6">
        <v>900</v>
      </c>
      <c r="BF24" s="6">
        <v>6211.94</v>
      </c>
      <c r="BG24" s="6">
        <v>871.57</v>
      </c>
      <c r="BH24" s="6"/>
      <c r="BI24" s="6"/>
      <c r="BJ24" s="6"/>
      <c r="BK24" s="6">
        <v>30000</v>
      </c>
      <c r="BL24" s="6">
        <v>24366.48</v>
      </c>
      <c r="BM24" s="6" t="s">
        <v>216</v>
      </c>
      <c r="BN24" s="6"/>
      <c r="BO24" s="6"/>
      <c r="BP24" s="6"/>
      <c r="BQ24" s="6"/>
      <c r="BR24" s="6" t="s">
        <v>222</v>
      </c>
      <c r="BS24" s="6">
        <v>8048.24</v>
      </c>
      <c r="BT24" s="6"/>
    </row>
    <row r="25" s="1" customFormat="1" spans="2:72">
      <c r="B25" s="4" t="s">
        <v>12</v>
      </c>
      <c r="C25" s="4" t="s">
        <v>13</v>
      </c>
      <c r="D25" s="4" t="s">
        <v>221</v>
      </c>
      <c r="E25" s="4" t="s">
        <v>47</v>
      </c>
      <c r="F25" s="5">
        <v>45047</v>
      </c>
      <c r="G25" s="5">
        <v>45047</v>
      </c>
      <c r="H25" s="5" t="s">
        <v>206</v>
      </c>
      <c r="I25" s="6">
        <v>19500</v>
      </c>
      <c r="J25" s="6"/>
      <c r="K25" s="6"/>
      <c r="L25" s="6">
        <v>8156.47</v>
      </c>
      <c r="M25" s="6">
        <v>12400</v>
      </c>
      <c r="N25" s="6">
        <v>4292.88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859</v>
      </c>
      <c r="AQ25" s="6"/>
      <c r="AR25" s="6"/>
      <c r="AS25" s="6"/>
      <c r="AT25" s="6">
        <v>7652.51</v>
      </c>
      <c r="AU25" s="6">
        <f t="shared" si="0"/>
        <v>0</v>
      </c>
      <c r="AV25" s="6">
        <v>4121.15</v>
      </c>
      <c r="AW25" s="6"/>
      <c r="AX25" s="6"/>
      <c r="AY25" s="6"/>
      <c r="AZ25" s="6"/>
      <c r="BA25" s="6">
        <v>5803.78</v>
      </c>
      <c r="BB25" s="6">
        <v>2633.9</v>
      </c>
      <c r="BC25" s="6">
        <v>4329</v>
      </c>
      <c r="BD25" s="6">
        <v>4329</v>
      </c>
      <c r="BE25" s="6">
        <v>810</v>
      </c>
      <c r="BF25" s="6">
        <v>6419.01</v>
      </c>
      <c r="BG25" s="6">
        <v>900.61</v>
      </c>
      <c r="BH25" s="6"/>
      <c r="BI25" s="6"/>
      <c r="BJ25" s="6"/>
      <c r="BK25" s="6">
        <v>27000</v>
      </c>
      <c r="BL25" s="6">
        <v>21978.24</v>
      </c>
      <c r="BM25" s="6" t="s">
        <v>216</v>
      </c>
      <c r="BN25" s="6"/>
      <c r="BO25" s="6"/>
      <c r="BP25" s="6"/>
      <c r="BQ25" s="6"/>
      <c r="BR25" s="6" t="s">
        <v>222</v>
      </c>
      <c r="BS25" s="6">
        <v>9351.86</v>
      </c>
      <c r="BT25" s="6"/>
    </row>
    <row r="26" s="1" customFormat="1" spans="2:72">
      <c r="B26" s="4" t="s">
        <v>12</v>
      </c>
      <c r="C26" s="4" t="s">
        <v>13</v>
      </c>
      <c r="D26" s="4" t="s">
        <v>221</v>
      </c>
      <c r="E26" s="4" t="s">
        <v>47</v>
      </c>
      <c r="F26" s="5">
        <v>45078</v>
      </c>
      <c r="G26" s="5">
        <v>45078</v>
      </c>
      <c r="H26" s="5" t="s">
        <v>206</v>
      </c>
      <c r="I26" s="6">
        <v>19500</v>
      </c>
      <c r="J26" s="6"/>
      <c r="K26" s="6"/>
      <c r="L26" s="6">
        <v>8073.59</v>
      </c>
      <c r="M26" s="6">
        <v>12000</v>
      </c>
      <c r="N26" s="6">
        <v>4249.26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>
        <v>0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7236.86</v>
      </c>
      <c r="AU26" s="6">
        <f t="shared" si="0"/>
        <v>0</v>
      </c>
      <c r="AV26" s="6"/>
      <c r="AW26" s="6"/>
      <c r="AX26" s="6"/>
      <c r="AY26" s="6"/>
      <c r="AZ26" s="6"/>
      <c r="BA26" s="6">
        <v>5803.78</v>
      </c>
      <c r="BB26" s="6">
        <v>2633.9</v>
      </c>
      <c r="BC26" s="6">
        <v>4329</v>
      </c>
      <c r="BD26" s="6">
        <v>4329</v>
      </c>
      <c r="BE26" s="6">
        <v>0</v>
      </c>
      <c r="BF26" s="6">
        <v>2292.74</v>
      </c>
      <c r="BG26" s="6"/>
      <c r="BH26" s="6"/>
      <c r="BI26" s="6"/>
      <c r="BJ26" s="6"/>
      <c r="BK26" s="6"/>
      <c r="BL26" s="6"/>
      <c r="BM26" s="6" t="s">
        <v>216</v>
      </c>
      <c r="BN26" s="6"/>
      <c r="BO26" s="6"/>
      <c r="BP26" s="6"/>
      <c r="BQ26" s="6"/>
      <c r="BR26" s="6" t="s">
        <v>222</v>
      </c>
      <c r="BS26" s="6">
        <v>8812.4</v>
      </c>
      <c r="BT26" s="6"/>
    </row>
    <row r="27" s="1" customFormat="1" spans="2:72">
      <c r="B27" s="4" t="s">
        <v>12</v>
      </c>
      <c r="C27" s="4" t="s">
        <v>13</v>
      </c>
      <c r="D27" s="4" t="s">
        <v>221</v>
      </c>
      <c r="E27" s="4" t="s">
        <v>47</v>
      </c>
      <c r="F27" s="5">
        <v>45108</v>
      </c>
      <c r="G27" s="5">
        <v>45108</v>
      </c>
      <c r="H27" s="5" t="s">
        <v>206</v>
      </c>
      <c r="I27" s="6">
        <v>19500</v>
      </c>
      <c r="J27" s="6"/>
      <c r="K27" s="6"/>
      <c r="L27" s="6">
        <v>8399.73</v>
      </c>
      <c r="M27" s="6">
        <v>12400</v>
      </c>
      <c r="N27" s="6">
        <v>4420.91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0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7506.19</v>
      </c>
      <c r="AU27" s="6">
        <f t="shared" si="0"/>
        <v>0</v>
      </c>
      <c r="AV27" s="6"/>
      <c r="AW27" s="6"/>
      <c r="AX27" s="6"/>
      <c r="AY27" s="6"/>
      <c r="AZ27" s="6"/>
      <c r="BA27" s="6">
        <v>6031.73</v>
      </c>
      <c r="BB27" s="6">
        <v>2757.2</v>
      </c>
      <c r="BC27" s="6">
        <v>4570</v>
      </c>
      <c r="BD27" s="6">
        <v>4570</v>
      </c>
      <c r="BE27" s="6">
        <v>0</v>
      </c>
      <c r="BF27" s="6">
        <v>2369.16</v>
      </c>
      <c r="BG27" s="6"/>
      <c r="BH27" s="6"/>
      <c r="BI27" s="6"/>
      <c r="BJ27" s="6"/>
      <c r="BK27" s="6"/>
      <c r="BL27" s="6"/>
      <c r="BM27" s="6" t="s">
        <v>216</v>
      </c>
      <c r="BN27" s="6"/>
      <c r="BO27" s="6"/>
      <c r="BP27" s="6"/>
      <c r="BQ27" s="6"/>
      <c r="BR27" s="6" t="s">
        <v>222</v>
      </c>
      <c r="BS27" s="6">
        <v>10320.42</v>
      </c>
      <c r="BT27" s="6"/>
    </row>
    <row r="28" s="1" customFormat="1" spans="2:72">
      <c r="B28" s="4" t="s">
        <v>12</v>
      </c>
      <c r="C28" s="4" t="s">
        <v>13</v>
      </c>
      <c r="D28" s="4" t="s">
        <v>221</v>
      </c>
      <c r="E28" s="4" t="s">
        <v>47</v>
      </c>
      <c r="F28" s="5">
        <v>45139</v>
      </c>
      <c r="G28" s="5">
        <v>45139</v>
      </c>
      <c r="H28" s="5" t="s">
        <v>206</v>
      </c>
      <c r="I28" s="6">
        <v>19500</v>
      </c>
      <c r="J28" s="6"/>
      <c r="K28" s="6"/>
      <c r="L28" s="6">
        <v>8399.73</v>
      </c>
      <c r="M28" s="6">
        <v>12400</v>
      </c>
      <c r="N28" s="6">
        <v>4420.91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0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7506.19</v>
      </c>
      <c r="AU28" s="6">
        <f t="shared" si="0"/>
        <v>0</v>
      </c>
      <c r="AV28" s="6">
        <v>557.47</v>
      </c>
      <c r="AW28" s="6"/>
      <c r="AX28" s="6"/>
      <c r="AY28" s="6"/>
      <c r="AZ28" s="6"/>
      <c r="BA28" s="6">
        <v>6031.73</v>
      </c>
      <c r="BB28" s="6">
        <v>2757.2</v>
      </c>
      <c r="BC28" s="6">
        <v>4570</v>
      </c>
      <c r="BD28" s="6">
        <v>4570</v>
      </c>
      <c r="BE28" s="6">
        <v>240</v>
      </c>
      <c r="BF28" s="6">
        <v>3414.28</v>
      </c>
      <c r="BG28" s="6">
        <v>232.42</v>
      </c>
      <c r="BH28" s="6"/>
      <c r="BI28" s="6"/>
      <c r="BJ28" s="6"/>
      <c r="BK28" s="6">
        <v>8000</v>
      </c>
      <c r="BL28" s="6">
        <v>7210.11</v>
      </c>
      <c r="BM28" s="6" t="s">
        <v>216</v>
      </c>
      <c r="BN28" s="6"/>
      <c r="BO28" s="6"/>
      <c r="BP28" s="6"/>
      <c r="BQ28" s="6"/>
      <c r="BR28" s="6" t="s">
        <v>222</v>
      </c>
      <c r="BS28" s="6">
        <v>10436.88</v>
      </c>
      <c r="BT28" s="6"/>
    </row>
    <row r="29" s="1" customFormat="1" spans="2:72">
      <c r="B29" s="4" t="s">
        <v>12</v>
      </c>
      <c r="C29" s="4" t="s">
        <v>13</v>
      </c>
      <c r="D29" s="4" t="s">
        <v>221</v>
      </c>
      <c r="E29" s="4" t="s">
        <v>47</v>
      </c>
      <c r="F29" s="5">
        <v>45170</v>
      </c>
      <c r="G29" s="5">
        <v>45170</v>
      </c>
      <c r="H29" s="5" t="s">
        <v>206</v>
      </c>
      <c r="I29" s="6">
        <v>19500</v>
      </c>
      <c r="J29" s="6"/>
      <c r="K29" s="6"/>
      <c r="L29" s="6">
        <v>8186.45</v>
      </c>
      <c r="M29" s="6">
        <v>12000</v>
      </c>
      <c r="N29" s="6">
        <v>4308.66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>
        <v>0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>
        <v>7288.53</v>
      </c>
      <c r="AU29" s="6">
        <f t="shared" si="0"/>
        <v>0</v>
      </c>
      <c r="AV29" s="6">
        <v>4761.95</v>
      </c>
      <c r="AW29" s="6"/>
      <c r="AX29" s="6"/>
      <c r="AY29" s="6"/>
      <c r="AZ29" s="6"/>
      <c r="BA29" s="6">
        <v>6031.73</v>
      </c>
      <c r="BB29" s="6">
        <v>2757.2</v>
      </c>
      <c r="BC29" s="6">
        <v>4570</v>
      </c>
      <c r="BD29" s="6">
        <v>4570</v>
      </c>
      <c r="BE29" s="6">
        <v>900</v>
      </c>
      <c r="BF29" s="6">
        <v>6211.94</v>
      </c>
      <c r="BG29" s="6">
        <v>871.57</v>
      </c>
      <c r="BH29" s="6"/>
      <c r="BI29" s="6"/>
      <c r="BJ29" s="6"/>
      <c r="BK29" s="6">
        <v>30000</v>
      </c>
      <c r="BL29" s="6">
        <v>24366.48</v>
      </c>
      <c r="BM29" s="6" t="s">
        <v>216</v>
      </c>
      <c r="BN29" s="6"/>
      <c r="BO29" s="6"/>
      <c r="BP29" s="6"/>
      <c r="BQ29" s="6"/>
      <c r="BR29" s="6" t="s">
        <v>222</v>
      </c>
      <c r="BS29" s="6">
        <v>10500.16</v>
      </c>
      <c r="BT29" s="6"/>
    </row>
    <row r="30" s="1" customFormat="1" ht="31" spans="2:72">
      <c r="B30" s="4" t="s">
        <v>12</v>
      </c>
      <c r="C30" s="4" t="s">
        <v>13</v>
      </c>
      <c r="D30" s="4" t="s">
        <v>221</v>
      </c>
      <c r="E30" s="4" t="s">
        <v>47</v>
      </c>
      <c r="F30" s="5">
        <v>45200</v>
      </c>
      <c r="G30" s="5">
        <v>45200</v>
      </c>
      <c r="H30" s="5" t="s">
        <v>206</v>
      </c>
      <c r="I30" s="6">
        <v>20500</v>
      </c>
      <c r="J30" s="6"/>
      <c r="K30" s="6"/>
      <c r="L30" s="6">
        <v>8457.8</v>
      </c>
      <c r="M30" s="6">
        <v>12400</v>
      </c>
      <c r="N30" s="6">
        <v>4451.48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0</v>
      </c>
      <c r="AF30" s="6"/>
      <c r="AG30" s="6"/>
      <c r="AH30" s="6"/>
      <c r="AI30" s="6"/>
      <c r="AJ30" s="6"/>
      <c r="AK30" s="6">
        <v>41680.77</v>
      </c>
      <c r="AL30" s="6" t="s">
        <v>218</v>
      </c>
      <c r="AM30" s="6">
        <v>18052.33</v>
      </c>
      <c r="AN30" s="6"/>
      <c r="AO30" s="6"/>
      <c r="AP30" s="6"/>
      <c r="AQ30" s="6"/>
      <c r="AR30" s="6"/>
      <c r="AS30" s="6"/>
      <c r="AT30" s="6">
        <v>7832.78</v>
      </c>
      <c r="AU30" s="6">
        <f t="shared" si="0"/>
        <v>0</v>
      </c>
      <c r="AV30" s="6">
        <v>12741.07</v>
      </c>
      <c r="AW30" s="6"/>
      <c r="AX30" s="6"/>
      <c r="AY30" s="6"/>
      <c r="AZ30" s="6"/>
      <c r="BA30" s="6">
        <v>6031.73</v>
      </c>
      <c r="BB30" s="6">
        <v>2757.2</v>
      </c>
      <c r="BC30" s="6">
        <v>4570</v>
      </c>
      <c r="BD30" s="6">
        <v>4570</v>
      </c>
      <c r="BE30" s="6">
        <v>2100.9699</v>
      </c>
      <c r="BF30" s="6">
        <v>5944.39</v>
      </c>
      <c r="BG30" s="6">
        <v>843.29</v>
      </c>
      <c r="BH30" s="6"/>
      <c r="BI30" s="6"/>
      <c r="BJ30" s="6"/>
      <c r="BK30" s="6">
        <v>70032.33</v>
      </c>
      <c r="BL30" s="6">
        <v>56447.97</v>
      </c>
      <c r="BM30" s="6" t="s">
        <v>216</v>
      </c>
      <c r="BN30" s="6"/>
      <c r="BO30" s="6"/>
      <c r="BP30" s="6"/>
      <c r="BQ30" s="6"/>
      <c r="BR30" s="6" t="s">
        <v>222</v>
      </c>
      <c r="BS30" s="6">
        <v>9883.29</v>
      </c>
      <c r="BT30" s="94" t="s">
        <v>224</v>
      </c>
    </row>
    <row r="31" s="1" customFormat="1" spans="2:72">
      <c r="B31" s="4" t="s">
        <v>12</v>
      </c>
      <c r="C31" s="4" t="s">
        <v>13</v>
      </c>
      <c r="D31" s="4" t="s">
        <v>221</v>
      </c>
      <c r="E31" s="4" t="s">
        <v>47</v>
      </c>
      <c r="F31" s="5">
        <v>45231</v>
      </c>
      <c r="G31" s="5">
        <v>45231</v>
      </c>
      <c r="H31" s="5" t="s">
        <v>206</v>
      </c>
      <c r="I31" s="6">
        <v>20500</v>
      </c>
      <c r="J31" s="6">
        <v>80</v>
      </c>
      <c r="K31" s="6">
        <v>160</v>
      </c>
      <c r="L31" s="6">
        <v>3230.06</v>
      </c>
      <c r="M31" s="6">
        <v>7200</v>
      </c>
      <c r="N31" s="6">
        <v>3230.06</v>
      </c>
      <c r="O31" s="6"/>
      <c r="P31" s="6"/>
      <c r="Q31" s="6"/>
      <c r="R31" s="6"/>
      <c r="S31" s="6">
        <v>646.01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0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4851.53</v>
      </c>
      <c r="AU31" s="6">
        <f t="shared" si="0"/>
        <v>0</v>
      </c>
      <c r="AV31" s="6"/>
      <c r="AW31" s="6"/>
      <c r="AX31" s="6"/>
      <c r="AY31" s="6"/>
      <c r="AZ31" s="6"/>
      <c r="BA31" s="6">
        <v>6031.73</v>
      </c>
      <c r="BB31" s="6">
        <v>2757.2</v>
      </c>
      <c r="BC31" s="6">
        <v>4570</v>
      </c>
      <c r="BD31" s="6">
        <v>4570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 t="s">
        <v>222</v>
      </c>
      <c r="BS31" s="6">
        <v>16628.62</v>
      </c>
    </row>
    <row r="32" s="1" customFormat="1" spans="2:72">
      <c r="B32" s="4" t="s">
        <v>12</v>
      </c>
      <c r="C32" s="4" t="s">
        <v>13</v>
      </c>
      <c r="D32" s="4" t="s">
        <v>221</v>
      </c>
      <c r="E32" s="4" t="s">
        <v>47</v>
      </c>
      <c r="F32" s="5">
        <v>45261</v>
      </c>
      <c r="G32" s="5">
        <v>45261</v>
      </c>
      <c r="H32" s="5" t="s">
        <v>206</v>
      </c>
      <c r="I32" s="6">
        <v>20500</v>
      </c>
      <c r="J32" s="6"/>
      <c r="K32" s="6"/>
      <c r="L32" s="6">
        <v>5503.9</v>
      </c>
      <c r="M32" s="6">
        <v>12400</v>
      </c>
      <c r="N32" s="6">
        <v>5503.9</v>
      </c>
      <c r="O32" s="6"/>
      <c r="P32" s="6"/>
      <c r="Q32" s="6"/>
      <c r="R32" s="6"/>
      <c r="S32" s="6"/>
      <c r="T32" s="6">
        <v>1100.78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0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7592.57</v>
      </c>
      <c r="AU32" s="6">
        <f t="shared" si="0"/>
        <v>0</v>
      </c>
      <c r="AV32" s="6"/>
      <c r="AW32" s="6"/>
      <c r="AX32" s="6"/>
      <c r="AY32" s="6"/>
      <c r="AZ32" s="6"/>
      <c r="BA32" s="6">
        <v>6031.73</v>
      </c>
      <c r="BB32" s="6">
        <v>2757.2</v>
      </c>
      <c r="BC32" s="6">
        <v>4570</v>
      </c>
      <c r="BD32" s="6">
        <v>4570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 t="s">
        <v>222</v>
      </c>
      <c r="BS32" s="6"/>
    </row>
    <row r="33" s="1" customFormat="1" spans="2:72">
      <c r="B33" s="4" t="s">
        <v>18</v>
      </c>
      <c r="C33" s="4" t="s">
        <v>19</v>
      </c>
      <c r="D33" s="4" t="s">
        <v>225</v>
      </c>
      <c r="E33" s="4" t="s">
        <v>51</v>
      </c>
      <c r="F33" s="5">
        <v>44927</v>
      </c>
      <c r="G33" s="5">
        <v>44927</v>
      </c>
      <c r="H33" s="5" t="s">
        <v>206</v>
      </c>
      <c r="I33" s="6">
        <v>75000</v>
      </c>
      <c r="J33" s="6"/>
      <c r="K33" s="6"/>
      <c r="L33" s="6">
        <v>7963.75</v>
      </c>
      <c r="M33" s="6">
        <v>31000</v>
      </c>
      <c r="N33" s="6">
        <v>4191.45</v>
      </c>
      <c r="O33" s="6"/>
      <c r="P33" s="6"/>
      <c r="Q33" s="6"/>
      <c r="R33" s="6">
        <v>5000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0</v>
      </c>
      <c r="AF33" s="6"/>
      <c r="AG33" s="6"/>
      <c r="AH33" s="6">
        <v>18968.4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13802.9</v>
      </c>
      <c r="AU33" s="6">
        <f t="shared" si="0"/>
        <v>0</v>
      </c>
      <c r="AV33" s="6">
        <v>4740</v>
      </c>
      <c r="AW33" s="6"/>
      <c r="AX33" s="6"/>
      <c r="AY33" s="6"/>
      <c r="AZ33" s="6"/>
      <c r="BA33" s="6">
        <v>8513.03</v>
      </c>
      <c r="BB33" s="6">
        <v>3350.82</v>
      </c>
      <c r="BC33" s="6">
        <v>3826</v>
      </c>
      <c r="BD33" s="6">
        <v>3826</v>
      </c>
      <c r="BE33" s="6">
        <v>900</v>
      </c>
      <c r="BF33" s="6">
        <v>6505.04</v>
      </c>
      <c r="BG33" s="6">
        <v>889.88</v>
      </c>
      <c r="BH33" s="6"/>
      <c r="BI33" s="6"/>
      <c r="BJ33" s="6"/>
      <c r="BK33" s="6">
        <v>29999.94</v>
      </c>
      <c r="BL33" s="6">
        <v>24370</v>
      </c>
      <c r="BM33" s="6" t="s">
        <v>216</v>
      </c>
      <c r="BN33" s="6"/>
      <c r="BO33" s="6"/>
      <c r="BP33" s="6"/>
      <c r="BQ33" s="6"/>
      <c r="BR33" s="6" t="s">
        <v>217</v>
      </c>
      <c r="BS33" s="6">
        <v>20823.66</v>
      </c>
    </row>
    <row r="34" s="1" customFormat="1" spans="2:72">
      <c r="B34" s="4" t="s">
        <v>18</v>
      </c>
      <c r="C34" s="4" t="s">
        <v>19</v>
      </c>
      <c r="D34" s="4" t="s">
        <v>225</v>
      </c>
      <c r="E34" s="4" t="s">
        <v>51</v>
      </c>
      <c r="F34" s="5">
        <v>44958</v>
      </c>
      <c r="G34" s="5">
        <v>44958</v>
      </c>
      <c r="H34" s="5" t="s">
        <v>206</v>
      </c>
      <c r="I34" s="6">
        <v>75000</v>
      </c>
      <c r="J34" s="6"/>
      <c r="K34" s="6"/>
      <c r="L34" s="6">
        <v>7396.82</v>
      </c>
      <c r="M34" s="6">
        <v>28000</v>
      </c>
      <c r="N34" s="6">
        <v>3893.06</v>
      </c>
      <c r="O34" s="6"/>
      <c r="P34" s="6"/>
      <c r="Q34" s="6"/>
      <c r="R34" s="6">
        <v>5000</v>
      </c>
      <c r="S34" s="6"/>
      <c r="T34" s="6"/>
      <c r="U34" s="6"/>
      <c r="V34" s="6"/>
      <c r="W34" s="6"/>
      <c r="X34" s="6"/>
      <c r="Y34" s="6"/>
      <c r="Z34" s="6">
        <v>50000</v>
      </c>
      <c r="AA34" s="6"/>
      <c r="AB34" s="6"/>
      <c r="AC34" s="6"/>
      <c r="AD34" s="6"/>
      <c r="AE34" s="6">
        <v>0</v>
      </c>
      <c r="AF34" s="6"/>
      <c r="AG34" s="6"/>
      <c r="AH34" s="6">
        <v>34663.54</v>
      </c>
      <c r="AI34" s="6">
        <v>300000</v>
      </c>
      <c r="AJ34" s="6">
        <v>58590</v>
      </c>
      <c r="AK34" s="6"/>
      <c r="AL34" s="6"/>
      <c r="AM34" s="6"/>
      <c r="AN34" s="6"/>
      <c r="AO34" s="6"/>
      <c r="AP34" s="6"/>
      <c r="AQ34" s="6"/>
      <c r="AR34" s="6"/>
      <c r="AS34" s="6"/>
      <c r="AT34" s="6">
        <v>29682.34</v>
      </c>
      <c r="AU34" s="6">
        <f t="shared" si="0"/>
        <v>58590</v>
      </c>
      <c r="AV34" s="6">
        <v>4740</v>
      </c>
      <c r="AW34" s="6"/>
      <c r="AX34" s="6"/>
      <c r="AY34" s="6"/>
      <c r="AZ34" s="6"/>
      <c r="BA34" s="6">
        <v>8513.03</v>
      </c>
      <c r="BB34" s="6">
        <v>3350.82</v>
      </c>
      <c r="BC34" s="6">
        <v>3826</v>
      </c>
      <c r="BD34" s="6">
        <v>3826</v>
      </c>
      <c r="BE34" s="6">
        <v>900</v>
      </c>
      <c r="BF34" s="6">
        <v>5911.52</v>
      </c>
      <c r="BG34" s="6">
        <v>801.24</v>
      </c>
      <c r="BH34" s="6"/>
      <c r="BI34" s="6"/>
      <c r="BJ34" s="6"/>
      <c r="BK34" s="6">
        <v>29999.94</v>
      </c>
      <c r="BL34" s="6">
        <v>24458.8</v>
      </c>
      <c r="BM34" s="6" t="s">
        <v>216</v>
      </c>
      <c r="BN34" s="6"/>
      <c r="BO34" s="6"/>
      <c r="BP34" s="6"/>
      <c r="BQ34" s="6"/>
      <c r="BR34" s="6" t="s">
        <v>217</v>
      </c>
      <c r="BS34" s="6">
        <v>13758.54</v>
      </c>
    </row>
    <row r="35" s="1" customFormat="1" spans="2:72">
      <c r="B35" s="4" t="s">
        <v>18</v>
      </c>
      <c r="C35" s="4" t="s">
        <v>19</v>
      </c>
      <c r="D35" s="4" t="s">
        <v>225</v>
      </c>
      <c r="E35" s="4" t="s">
        <v>51</v>
      </c>
      <c r="F35" s="5">
        <v>44986</v>
      </c>
      <c r="G35" s="5">
        <v>44986</v>
      </c>
      <c r="H35" s="5" t="s">
        <v>206</v>
      </c>
      <c r="I35" s="6">
        <v>75000</v>
      </c>
      <c r="J35" s="6"/>
      <c r="K35" s="6"/>
      <c r="L35" s="6">
        <v>8189.34</v>
      </c>
      <c r="M35" s="6">
        <v>31000</v>
      </c>
      <c r="N35" s="6">
        <v>4310.18</v>
      </c>
      <c r="O35" s="6"/>
      <c r="P35" s="6"/>
      <c r="Q35" s="6"/>
      <c r="R35" s="6">
        <v>5000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0</v>
      </c>
      <c r="AF35" s="6"/>
      <c r="AG35" s="6"/>
      <c r="AH35" s="6">
        <v>30937.75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23787.59</v>
      </c>
      <c r="AU35" s="6">
        <f t="shared" si="0"/>
        <v>0</v>
      </c>
      <c r="AV35" s="6">
        <v>4740</v>
      </c>
      <c r="AW35" s="6"/>
      <c r="AX35" s="6"/>
      <c r="AY35" s="6"/>
      <c r="AZ35" s="6"/>
      <c r="BA35" s="6">
        <v>8513.03</v>
      </c>
      <c r="BB35" s="6">
        <v>3350.82</v>
      </c>
      <c r="BC35" s="6">
        <v>3826</v>
      </c>
      <c r="BD35" s="6">
        <v>3826</v>
      </c>
      <c r="BE35" s="6">
        <v>988.8141</v>
      </c>
      <c r="BF35" s="6">
        <v>6334.5337752</v>
      </c>
      <c r="BG35" s="6">
        <v>887.09</v>
      </c>
      <c r="BH35" s="6"/>
      <c r="BI35" s="6"/>
      <c r="BJ35" s="6"/>
      <c r="BK35" s="6">
        <v>32960.47</v>
      </c>
      <c r="BL35" s="6">
        <v>27333.4</v>
      </c>
      <c r="BM35" s="6" t="s">
        <v>216</v>
      </c>
      <c r="BN35" s="6"/>
      <c r="BO35" s="6"/>
      <c r="BP35" s="6"/>
      <c r="BQ35" s="6"/>
      <c r="BR35" s="6" t="s">
        <v>217</v>
      </c>
      <c r="BS35" s="6">
        <v>16402.19</v>
      </c>
    </row>
    <row r="36" s="1" customFormat="1" spans="2:72">
      <c r="B36" s="4" t="s">
        <v>18</v>
      </c>
      <c r="C36" s="4" t="s">
        <v>19</v>
      </c>
      <c r="D36" s="4" t="s">
        <v>225</v>
      </c>
      <c r="E36" s="4" t="s">
        <v>51</v>
      </c>
      <c r="F36" s="5">
        <v>45017</v>
      </c>
      <c r="G36" s="5">
        <v>45017</v>
      </c>
      <c r="H36" s="5" t="s">
        <v>206</v>
      </c>
      <c r="I36" s="6">
        <v>75000</v>
      </c>
      <c r="J36" s="6"/>
      <c r="K36" s="6"/>
      <c r="L36" s="6">
        <v>7833.74</v>
      </c>
      <c r="M36" s="6">
        <v>30000</v>
      </c>
      <c r="N36" s="6">
        <v>4123.02</v>
      </c>
      <c r="O36" s="6"/>
      <c r="P36" s="6"/>
      <c r="Q36" s="6"/>
      <c r="R36" s="6">
        <v>5000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0</v>
      </c>
      <c r="AF36" s="6"/>
      <c r="AG36" s="6"/>
      <c r="AH36" s="6">
        <v>32633.98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28185.12</v>
      </c>
      <c r="AU36" s="6">
        <f t="shared" si="0"/>
        <v>0</v>
      </c>
      <c r="AV36" s="6">
        <v>4740</v>
      </c>
      <c r="AW36" s="6"/>
      <c r="AX36" s="6"/>
      <c r="AY36" s="6"/>
      <c r="AZ36" s="6"/>
      <c r="BA36" s="6">
        <v>8513.03</v>
      </c>
      <c r="BB36" s="6">
        <v>3350.82</v>
      </c>
      <c r="BC36" s="6">
        <v>3826</v>
      </c>
      <c r="BD36" s="6">
        <v>3826</v>
      </c>
      <c r="BE36" s="6">
        <v>899.9982</v>
      </c>
      <c r="BF36" s="6">
        <v>6130.2</v>
      </c>
      <c r="BG36" s="6">
        <v>858.48</v>
      </c>
      <c r="BH36" s="6"/>
      <c r="BI36" s="6"/>
      <c r="BJ36" s="6"/>
      <c r="BK36" s="6">
        <v>29999.94</v>
      </c>
      <c r="BL36" s="6">
        <v>24401.4</v>
      </c>
      <c r="BM36" s="6" t="s">
        <v>216</v>
      </c>
      <c r="BN36" s="6"/>
      <c r="BO36" s="6"/>
      <c r="BP36" s="6"/>
      <c r="BQ36" s="6"/>
      <c r="BR36" s="6" t="s">
        <v>217</v>
      </c>
      <c r="BS36" s="6">
        <v>14829.54</v>
      </c>
    </row>
    <row r="37" s="1" customFormat="1" spans="2:72">
      <c r="B37" s="4" t="s">
        <v>18</v>
      </c>
      <c r="C37" s="4" t="s">
        <v>19</v>
      </c>
      <c r="D37" s="4" t="s">
        <v>225</v>
      </c>
      <c r="E37" s="4" t="s">
        <v>51</v>
      </c>
      <c r="F37" s="5">
        <v>45047</v>
      </c>
      <c r="G37" s="5">
        <v>45047</v>
      </c>
      <c r="H37" s="5" t="s">
        <v>206</v>
      </c>
      <c r="I37" s="6">
        <v>75000</v>
      </c>
      <c r="J37" s="6"/>
      <c r="K37" s="6"/>
      <c r="L37" s="6">
        <v>8156.47</v>
      </c>
      <c r="M37" s="6">
        <v>31000</v>
      </c>
      <c r="N37" s="6">
        <v>4292.88</v>
      </c>
      <c r="O37" s="6">
        <v>29397.31</v>
      </c>
      <c r="P37" s="6"/>
      <c r="Q37" s="6"/>
      <c r="R37" s="6">
        <v>5000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>
        <v>0</v>
      </c>
      <c r="AF37" s="6"/>
      <c r="AG37" s="6"/>
      <c r="AH37" s="6">
        <v>64788.76</v>
      </c>
      <c r="AI37" s="6"/>
      <c r="AJ37" s="6"/>
      <c r="AK37" s="6"/>
      <c r="AL37" s="6"/>
      <c r="AM37" s="6"/>
      <c r="AN37" s="6"/>
      <c r="AO37" s="6"/>
      <c r="AP37" s="6">
        <v>54595</v>
      </c>
      <c r="AQ37" s="6"/>
      <c r="AR37" s="6"/>
      <c r="AS37" s="6"/>
      <c r="AT37" s="6">
        <v>53913.5</v>
      </c>
      <c r="AU37" s="6">
        <f t="shared" si="0"/>
        <v>0</v>
      </c>
      <c r="AV37" s="6">
        <v>4740</v>
      </c>
      <c r="AW37" s="6"/>
      <c r="AX37" s="6"/>
      <c r="AY37" s="6"/>
      <c r="AZ37" s="6"/>
      <c r="BA37" s="6">
        <v>8513.03</v>
      </c>
      <c r="BB37" s="6">
        <v>3350.82</v>
      </c>
      <c r="BC37" s="6">
        <v>3826</v>
      </c>
      <c r="BD37" s="6">
        <v>3826</v>
      </c>
      <c r="BE37" s="6">
        <v>899.9982</v>
      </c>
      <c r="BF37" s="6">
        <v>6334.53</v>
      </c>
      <c r="BG37" s="6">
        <v>887.09</v>
      </c>
      <c r="BH37" s="6"/>
      <c r="BI37" s="6"/>
      <c r="BJ37" s="6"/>
      <c r="BK37" s="6">
        <v>29999.936</v>
      </c>
      <c r="BL37" s="6">
        <v>24372.8</v>
      </c>
      <c r="BM37" s="6" t="s">
        <v>216</v>
      </c>
      <c r="BN37" s="6"/>
      <c r="BO37" s="6"/>
      <c r="BP37" s="6"/>
      <c r="BQ37" s="6"/>
      <c r="BR37" s="6" t="s">
        <v>217</v>
      </c>
      <c r="BS37" s="6">
        <v>20240.52</v>
      </c>
    </row>
    <row r="38" s="1" customFormat="1" spans="2:72">
      <c r="B38" s="4" t="s">
        <v>18</v>
      </c>
      <c r="C38" s="4" t="s">
        <v>19</v>
      </c>
      <c r="D38" s="4" t="s">
        <v>225</v>
      </c>
      <c r="E38" s="4" t="s">
        <v>51</v>
      </c>
      <c r="F38" s="5">
        <v>45078</v>
      </c>
      <c r="G38" s="5">
        <v>45078</v>
      </c>
      <c r="H38" s="5" t="s">
        <v>206</v>
      </c>
      <c r="I38" s="6">
        <v>75000</v>
      </c>
      <c r="J38" s="6">
        <v>40</v>
      </c>
      <c r="K38" s="6">
        <v>80</v>
      </c>
      <c r="L38" s="6">
        <v>6997.11</v>
      </c>
      <c r="M38" s="6">
        <v>26000</v>
      </c>
      <c r="N38" s="6">
        <v>3682.69</v>
      </c>
      <c r="O38" s="6"/>
      <c r="P38" s="6"/>
      <c r="Q38" s="6"/>
      <c r="R38" s="6">
        <v>5000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0</v>
      </c>
      <c r="AF38" s="6"/>
      <c r="AG38" s="6"/>
      <c r="AH38" s="6">
        <v>36268.04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31005.92</v>
      </c>
      <c r="AU38" s="6">
        <f t="shared" si="0"/>
        <v>0</v>
      </c>
      <c r="AV38" s="6">
        <v>4740</v>
      </c>
      <c r="AW38" s="6"/>
      <c r="AX38" s="6"/>
      <c r="AY38" s="6"/>
      <c r="AZ38" s="6"/>
      <c r="BA38" s="6">
        <v>8513.03</v>
      </c>
      <c r="BB38" s="6">
        <v>3350.82</v>
      </c>
      <c r="BC38" s="6">
        <v>3826</v>
      </c>
      <c r="BD38" s="6">
        <v>3826</v>
      </c>
      <c r="BE38" s="6">
        <v>899.9982</v>
      </c>
      <c r="BF38" s="6">
        <v>6130.2</v>
      </c>
      <c r="BG38" s="6">
        <v>858.48</v>
      </c>
      <c r="BH38" s="6"/>
      <c r="BI38" s="6"/>
      <c r="BJ38" s="6"/>
      <c r="BK38" s="6">
        <v>29999.94</v>
      </c>
      <c r="BL38" s="6">
        <v>24401.4</v>
      </c>
      <c r="BM38" s="6" t="s">
        <v>216</v>
      </c>
      <c r="BN38" s="6"/>
      <c r="BO38" s="6"/>
      <c r="BP38" s="6"/>
      <c r="BQ38" s="6"/>
      <c r="BR38" s="6" t="s">
        <v>217</v>
      </c>
      <c r="BS38" s="6">
        <v>15034.64</v>
      </c>
    </row>
    <row r="39" s="1" customFormat="1" ht="16" spans="2:72">
      <c r="B39" s="4" t="s">
        <v>18</v>
      </c>
      <c r="C39" s="4" t="s">
        <v>19</v>
      </c>
      <c r="D39" s="4" t="s">
        <v>225</v>
      </c>
      <c r="E39" s="4" t="s">
        <v>51</v>
      </c>
      <c r="F39" s="5">
        <v>45108</v>
      </c>
      <c r="G39" s="5">
        <v>45108</v>
      </c>
      <c r="H39" s="5" t="s">
        <v>206</v>
      </c>
      <c r="I39" s="6">
        <v>75000</v>
      </c>
      <c r="J39" s="6">
        <v>260</v>
      </c>
      <c r="K39" s="6">
        <v>435</v>
      </c>
      <c r="L39" s="6"/>
      <c r="M39" s="6"/>
      <c r="N39" s="6"/>
      <c r="O39" s="6"/>
      <c r="P39" s="6"/>
      <c r="Q39" s="6"/>
      <c r="R39" s="6">
        <v>5000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0</v>
      </c>
      <c r="AF39" s="6"/>
      <c r="AG39" s="6"/>
      <c r="AH39" s="6">
        <v>23669.27</v>
      </c>
      <c r="AI39" s="6"/>
      <c r="AJ39" s="6"/>
      <c r="AK39" s="6"/>
      <c r="AL39" s="6"/>
      <c r="AM39" s="6">
        <v>3907.89</v>
      </c>
      <c r="AN39" s="6"/>
      <c r="AO39" s="6"/>
      <c r="AP39" s="6"/>
      <c r="AQ39" s="6"/>
      <c r="AR39" s="6"/>
      <c r="AS39" s="6"/>
      <c r="AT39" s="6">
        <v>18502.32</v>
      </c>
      <c r="AU39" s="6">
        <f t="shared" si="0"/>
        <v>0</v>
      </c>
      <c r="AV39" s="6">
        <v>7949.6</v>
      </c>
      <c r="AW39" s="6"/>
      <c r="AX39" s="6"/>
      <c r="AY39" s="6"/>
      <c r="AZ39" s="6"/>
      <c r="BA39" s="6">
        <v>9116.69</v>
      </c>
      <c r="BB39" s="6">
        <v>3561.56</v>
      </c>
      <c r="BC39" s="6">
        <v>3826</v>
      </c>
      <c r="BD39" s="6">
        <v>3826</v>
      </c>
      <c r="BE39" s="6">
        <v>1443.7524</v>
      </c>
      <c r="BF39" s="6">
        <v>3477.75</v>
      </c>
      <c r="BG39" s="6">
        <v>487.1</v>
      </c>
      <c r="BH39" s="6"/>
      <c r="BI39" s="6"/>
      <c r="BJ39" s="6"/>
      <c r="BK39" s="6">
        <v>48125.08</v>
      </c>
      <c r="BL39" s="6">
        <v>39688.4</v>
      </c>
      <c r="BM39" s="6" t="s">
        <v>216</v>
      </c>
      <c r="BN39" s="6"/>
      <c r="BO39" s="6"/>
      <c r="BP39" s="6"/>
      <c r="BQ39" s="6"/>
      <c r="BR39" s="6" t="s">
        <v>217</v>
      </c>
      <c r="BS39" s="6">
        <v>14443.67</v>
      </c>
      <c r="BT39" s="94" t="s">
        <v>226</v>
      </c>
    </row>
    <row r="40" s="1" customFormat="1" spans="2:72">
      <c r="B40" s="4" t="s">
        <v>18</v>
      </c>
      <c r="C40" s="4" t="s">
        <v>19</v>
      </c>
      <c r="D40" s="4" t="s">
        <v>225</v>
      </c>
      <c r="E40" s="4" t="s">
        <v>51</v>
      </c>
      <c r="F40" s="5">
        <v>45139</v>
      </c>
      <c r="G40" s="5">
        <v>45139</v>
      </c>
      <c r="H40" s="5" t="s">
        <v>206</v>
      </c>
      <c r="I40" s="6">
        <v>13793.1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-13793.12</v>
      </c>
      <c r="W40" s="6"/>
      <c r="X40" s="6"/>
      <c r="Y40" s="6"/>
      <c r="Z40" s="6"/>
      <c r="AA40" s="6"/>
      <c r="AB40" s="6"/>
      <c r="AC40" s="6"/>
      <c r="AD40" s="6"/>
      <c r="AE40" s="6">
        <v>0</v>
      </c>
      <c r="AF40" s="6">
        <v>5000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>
        <v>1665.64</v>
      </c>
      <c r="AU40" s="6">
        <f t="shared" si="0"/>
        <v>0</v>
      </c>
      <c r="AV40" s="6"/>
      <c r="AW40" s="6"/>
      <c r="AX40" s="6"/>
      <c r="AY40" s="6"/>
      <c r="AZ40" s="6"/>
      <c r="BA40" s="6"/>
      <c r="BB40" s="6"/>
      <c r="BC40" s="6">
        <v>241</v>
      </c>
      <c r="BD40" s="6">
        <v>241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 t="s">
        <v>217</v>
      </c>
      <c r="BS40" s="6"/>
    </row>
    <row r="41" s="1" customFormat="1" spans="2:72">
      <c r="B41" s="4" t="s">
        <v>18</v>
      </c>
      <c r="C41" s="4" t="s">
        <v>19</v>
      </c>
      <c r="D41" s="4" t="s">
        <v>225</v>
      </c>
      <c r="E41" s="4" t="s">
        <v>51</v>
      </c>
      <c r="F41" s="5">
        <v>45170</v>
      </c>
      <c r="G41" s="5">
        <v>45170</v>
      </c>
      <c r="H41" s="5" t="s">
        <v>206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0</v>
      </c>
      <c r="AF41" s="6">
        <v>5000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f t="shared" si="0"/>
        <v>0</v>
      </c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 t="s">
        <v>217</v>
      </c>
      <c r="BS41" s="6"/>
    </row>
    <row r="42" s="1" customFormat="1" spans="2:72">
      <c r="B42" s="4" t="s">
        <v>18</v>
      </c>
      <c r="C42" s="4" t="s">
        <v>19</v>
      </c>
      <c r="D42" s="4" t="s">
        <v>225</v>
      </c>
      <c r="E42" s="4" t="s">
        <v>51</v>
      </c>
      <c r="F42" s="5">
        <v>45200</v>
      </c>
      <c r="G42" s="5">
        <v>45200</v>
      </c>
      <c r="H42" s="5" t="s">
        <v>206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0</v>
      </c>
      <c r="AF42" s="6">
        <v>5000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700</v>
      </c>
      <c r="AU42" s="6">
        <f t="shared" si="0"/>
        <v>0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 t="s">
        <v>217</v>
      </c>
      <c r="BS42" s="6"/>
    </row>
    <row r="43" s="1" customFormat="1" spans="2:72">
      <c r="B43" s="4" t="s">
        <v>18</v>
      </c>
      <c r="C43" s="4" t="s">
        <v>19</v>
      </c>
      <c r="D43" s="4" t="s">
        <v>225</v>
      </c>
      <c r="E43" s="4" t="s">
        <v>51</v>
      </c>
      <c r="F43" s="5">
        <v>45231</v>
      </c>
      <c r="G43" s="5">
        <v>45231</v>
      </c>
      <c r="H43" s="5" t="s">
        <v>206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0</v>
      </c>
      <c r="AF43" s="6">
        <v>5000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1750</v>
      </c>
      <c r="AU43" s="6">
        <f t="shared" si="0"/>
        <v>0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 t="s">
        <v>217</v>
      </c>
      <c r="BS43" s="6"/>
    </row>
    <row r="44" s="1" customFormat="1" spans="2:72">
      <c r="B44" s="4" t="s">
        <v>18</v>
      </c>
      <c r="C44" s="4" t="s">
        <v>19</v>
      </c>
      <c r="D44" s="4" t="s">
        <v>225</v>
      </c>
      <c r="E44" s="4" t="s">
        <v>51</v>
      </c>
      <c r="F44" s="5">
        <v>45261</v>
      </c>
      <c r="G44" s="5">
        <v>45261</v>
      </c>
      <c r="H44" s="5" t="s">
        <v>206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0</v>
      </c>
      <c r="AF44" s="6">
        <v>5000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150</v>
      </c>
      <c r="AU44" s="6">
        <f t="shared" si="0"/>
        <v>0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 t="s">
        <v>217</v>
      </c>
      <c r="BS44" s="6"/>
    </row>
  </sheetData>
  <mergeCells count="86">
    <mergeCell ref="I2:AH2"/>
    <mergeCell ref="AI2:AJ2"/>
    <mergeCell ref="AK2:AL2"/>
    <mergeCell ref="AM2:AO2"/>
    <mergeCell ref="AP2:AS2"/>
    <mergeCell ref="AT2:AZ2"/>
    <mergeCell ref="BA2:BD2"/>
    <mergeCell ref="BF2:BJ2"/>
    <mergeCell ref="BK2:BS2"/>
    <mergeCell ref="B2:B4"/>
    <mergeCell ref="B5:B6"/>
    <mergeCell ref="C2:C4"/>
    <mergeCell ref="C5:C6"/>
    <mergeCell ref="D2:D4"/>
    <mergeCell ref="D5:D6"/>
    <mergeCell ref="E2:E4"/>
    <mergeCell ref="E5:E6"/>
    <mergeCell ref="F2:F4"/>
    <mergeCell ref="F5:F6"/>
    <mergeCell ref="G2:G4"/>
    <mergeCell ref="G5:G6"/>
    <mergeCell ref="H2:H4"/>
    <mergeCell ref="H5:H6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V3:AV5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AT3:AU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Emp &amp; Dept</vt:lpstr>
      <vt:lpstr>Salary Grades</vt:lpstr>
      <vt:lpstr>垂直合并Demo1</vt:lpstr>
      <vt:lpstr>垂直合并Demo2</vt:lpstr>
      <vt:lpstr>Off-payroll benefits</vt:lpstr>
      <vt:lpstr>Employer provide housing</vt:lpstr>
      <vt:lpstr>Compensation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Mr.高</cp:lastModifiedBy>
  <dcterms:created xsi:type="dcterms:W3CDTF">2026-02-07T09:01:00Z</dcterms:created>
  <dcterms:modified xsi:type="dcterms:W3CDTF">2026-02-09T23:52:31Z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41BFA95BAC3D8002B3058669FF7011BB_42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